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33" i="1" l="1"/>
  <c r="V33" i="1"/>
  <c r="W33" i="1"/>
  <c r="Z33" i="1"/>
  <c r="AA33" i="1"/>
  <c r="AB33" i="1"/>
  <c r="U34" i="1"/>
  <c r="V34" i="1"/>
  <c r="W34" i="1"/>
  <c r="Z34" i="1"/>
  <c r="AA34" i="1"/>
  <c r="AB34" i="1"/>
  <c r="U35" i="1"/>
  <c r="V35" i="1"/>
  <c r="W35" i="1"/>
  <c r="Z35" i="1"/>
  <c r="AA35" i="1"/>
  <c r="AB35" i="1"/>
  <c r="U36" i="1"/>
  <c r="V36" i="1"/>
  <c r="W36" i="1"/>
  <c r="Z36" i="1"/>
  <c r="AA36" i="1"/>
  <c r="AB36" i="1"/>
  <c r="U37" i="1"/>
  <c r="V37" i="1"/>
  <c r="W37" i="1"/>
  <c r="Z37" i="1"/>
  <c r="AA37" i="1"/>
  <c r="AB37" i="1"/>
  <c r="U38" i="1"/>
  <c r="V38" i="1"/>
  <c r="W38" i="1"/>
  <c r="Z38" i="1"/>
  <c r="AA38" i="1"/>
  <c r="AB38" i="1"/>
  <c r="U39" i="1"/>
  <c r="V39" i="1"/>
  <c r="W39" i="1"/>
  <c r="Z39" i="1"/>
  <c r="AA39" i="1"/>
  <c r="AB39" i="1"/>
  <c r="U40" i="1"/>
  <c r="V40" i="1"/>
  <c r="W40" i="1"/>
  <c r="Z40" i="1"/>
  <c r="AA40" i="1"/>
  <c r="AB40" i="1"/>
  <c r="U41" i="1"/>
  <c r="V41" i="1"/>
  <c r="W41" i="1"/>
  <c r="Z41" i="1"/>
  <c r="AA41" i="1"/>
  <c r="AB41" i="1"/>
  <c r="U42" i="1"/>
  <c r="V42" i="1"/>
  <c r="W42" i="1"/>
  <c r="Z42" i="1"/>
  <c r="AA42" i="1"/>
  <c r="AB42" i="1"/>
  <c r="U43" i="1"/>
  <c r="V43" i="1"/>
  <c r="W43" i="1"/>
  <c r="Z43" i="1"/>
  <c r="AA43" i="1"/>
  <c r="AB43" i="1"/>
  <c r="U44" i="1"/>
  <c r="V44" i="1"/>
  <c r="W44" i="1"/>
  <c r="Z44" i="1"/>
  <c r="AA44" i="1"/>
  <c r="AB44" i="1"/>
  <c r="U45" i="1"/>
  <c r="V45" i="1"/>
  <c r="W45" i="1"/>
  <c r="Z45" i="1"/>
  <c r="AA45" i="1"/>
  <c r="AB45" i="1"/>
  <c r="U46" i="1"/>
  <c r="V46" i="1"/>
  <c r="W46" i="1"/>
  <c r="Z46" i="1"/>
  <c r="AA46" i="1"/>
  <c r="AB46" i="1"/>
  <c r="U47" i="1"/>
  <c r="X47" i="1" s="1"/>
  <c r="V47" i="1"/>
  <c r="W47" i="1"/>
  <c r="Z47" i="1"/>
  <c r="AA47" i="1"/>
  <c r="AB47" i="1"/>
  <c r="U48" i="1"/>
  <c r="V48" i="1"/>
  <c r="W48" i="1"/>
  <c r="Z48" i="1"/>
  <c r="AA48" i="1"/>
  <c r="AB48" i="1"/>
  <c r="U49" i="1"/>
  <c r="V49" i="1"/>
  <c r="W49" i="1"/>
  <c r="Z49" i="1"/>
  <c r="AA49" i="1"/>
  <c r="AB49" i="1"/>
  <c r="U50" i="1"/>
  <c r="V50" i="1"/>
  <c r="W50" i="1"/>
  <c r="Z50" i="1"/>
  <c r="AA50" i="1"/>
  <c r="AB50" i="1"/>
  <c r="U51" i="1"/>
  <c r="V51" i="1"/>
  <c r="W51" i="1"/>
  <c r="Z51" i="1"/>
  <c r="AA51" i="1"/>
  <c r="AB51" i="1"/>
  <c r="U52" i="1"/>
  <c r="V52" i="1"/>
  <c r="W52" i="1"/>
  <c r="Z52" i="1"/>
  <c r="AA52" i="1"/>
  <c r="AB52" i="1"/>
  <c r="U53" i="1"/>
  <c r="V53" i="1"/>
  <c r="W53" i="1"/>
  <c r="Z53" i="1"/>
  <c r="AA53" i="1"/>
  <c r="AB53" i="1"/>
  <c r="U54" i="1"/>
  <c r="V54" i="1"/>
  <c r="W54" i="1"/>
  <c r="Z54" i="1"/>
  <c r="AA54" i="1"/>
  <c r="AB54" i="1"/>
  <c r="U55" i="1"/>
  <c r="V55" i="1"/>
  <c r="W55" i="1"/>
  <c r="Z55" i="1"/>
  <c r="AA55" i="1"/>
  <c r="AB55" i="1"/>
  <c r="U56" i="1"/>
  <c r="V56" i="1"/>
  <c r="W56" i="1"/>
  <c r="Z56" i="1"/>
  <c r="AA56" i="1"/>
  <c r="AB56" i="1"/>
  <c r="U57" i="1"/>
  <c r="V57" i="1"/>
  <c r="W57" i="1"/>
  <c r="Z57" i="1"/>
  <c r="AA57" i="1"/>
  <c r="AB57" i="1"/>
  <c r="U58" i="1"/>
  <c r="V58" i="1"/>
  <c r="W58" i="1"/>
  <c r="Z58" i="1"/>
  <c r="AA58" i="1"/>
  <c r="AB58" i="1"/>
  <c r="U59" i="1"/>
  <c r="V59" i="1"/>
  <c r="W59" i="1"/>
  <c r="Z59" i="1"/>
  <c r="AA59" i="1"/>
  <c r="AB59" i="1"/>
  <c r="U60" i="1"/>
  <c r="V60" i="1"/>
  <c r="W60" i="1"/>
  <c r="Z60" i="1"/>
  <c r="AA60" i="1"/>
  <c r="AB60" i="1"/>
  <c r="U61" i="1"/>
  <c r="V61" i="1"/>
  <c r="W61" i="1"/>
  <c r="Z61" i="1"/>
  <c r="AA61" i="1"/>
  <c r="AB61" i="1"/>
  <c r="U62" i="1"/>
  <c r="V62" i="1"/>
  <c r="W62" i="1"/>
  <c r="Z62" i="1"/>
  <c r="AA62" i="1"/>
  <c r="AB62" i="1"/>
  <c r="U63" i="1"/>
  <c r="V63" i="1"/>
  <c r="W63" i="1"/>
  <c r="Z63" i="1"/>
  <c r="AA63" i="1"/>
  <c r="AB63" i="1"/>
  <c r="U64" i="1"/>
  <c r="V64" i="1"/>
  <c r="W64" i="1"/>
  <c r="Z64" i="1"/>
  <c r="AA64" i="1"/>
  <c r="AB64" i="1"/>
  <c r="U65" i="1"/>
  <c r="V65" i="1"/>
  <c r="W65" i="1"/>
  <c r="Z65" i="1"/>
  <c r="AA65" i="1"/>
  <c r="AB65" i="1"/>
  <c r="U66" i="1"/>
  <c r="V66" i="1"/>
  <c r="W66" i="1"/>
  <c r="Z66" i="1"/>
  <c r="AA66" i="1"/>
  <c r="AB66" i="1"/>
  <c r="U67" i="1"/>
  <c r="V67" i="1"/>
  <c r="W67" i="1"/>
  <c r="Z67" i="1"/>
  <c r="AA67" i="1"/>
  <c r="AB67" i="1"/>
  <c r="U68" i="1"/>
  <c r="V68" i="1"/>
  <c r="W68" i="1"/>
  <c r="Z68" i="1"/>
  <c r="AA68" i="1"/>
  <c r="AB68" i="1"/>
  <c r="U69" i="1"/>
  <c r="V69" i="1"/>
  <c r="W69" i="1"/>
  <c r="Z69" i="1"/>
  <c r="AA69" i="1"/>
  <c r="AB69" i="1"/>
  <c r="U70" i="1"/>
  <c r="V70" i="1"/>
  <c r="W70" i="1"/>
  <c r="Z70" i="1"/>
  <c r="AA70" i="1"/>
  <c r="AB70" i="1"/>
  <c r="U71" i="1"/>
  <c r="V71" i="1"/>
  <c r="W71" i="1"/>
  <c r="Z71" i="1"/>
  <c r="AA71" i="1"/>
  <c r="AB71" i="1"/>
  <c r="U72" i="1"/>
  <c r="V72" i="1"/>
  <c r="W72" i="1"/>
  <c r="Z72" i="1"/>
  <c r="AA72" i="1"/>
  <c r="AB72" i="1"/>
  <c r="U73" i="1"/>
  <c r="V73" i="1"/>
  <c r="W73" i="1"/>
  <c r="Z73" i="1"/>
  <c r="AA73" i="1"/>
  <c r="AB73" i="1"/>
  <c r="U74" i="1"/>
  <c r="V74" i="1"/>
  <c r="W74" i="1"/>
  <c r="Z74" i="1"/>
  <c r="AA74" i="1"/>
  <c r="AB74" i="1"/>
  <c r="U75" i="1"/>
  <c r="V75" i="1"/>
  <c r="W75" i="1"/>
  <c r="Z75" i="1"/>
  <c r="AA75" i="1"/>
  <c r="AB75" i="1"/>
  <c r="U76" i="1"/>
  <c r="V76" i="1"/>
  <c r="W76" i="1"/>
  <c r="Z76" i="1"/>
  <c r="AA76" i="1"/>
  <c r="AB76" i="1"/>
  <c r="U77" i="1"/>
  <c r="V77" i="1"/>
  <c r="W77" i="1"/>
  <c r="Z77" i="1"/>
  <c r="AA77" i="1"/>
  <c r="AB77" i="1"/>
  <c r="U78" i="1"/>
  <c r="V78" i="1"/>
  <c r="W78" i="1"/>
  <c r="Z78" i="1"/>
  <c r="AA78" i="1"/>
  <c r="AB78" i="1"/>
  <c r="U79" i="1"/>
  <c r="V79" i="1"/>
  <c r="W79" i="1"/>
  <c r="Z79" i="1"/>
  <c r="AA79" i="1"/>
  <c r="AB79" i="1"/>
  <c r="U80" i="1"/>
  <c r="V80" i="1"/>
  <c r="W80" i="1"/>
  <c r="Z80" i="1"/>
  <c r="AA80" i="1"/>
  <c r="AB80" i="1"/>
  <c r="U81" i="1"/>
  <c r="V81" i="1"/>
  <c r="W81" i="1"/>
  <c r="Z81" i="1"/>
  <c r="AA81" i="1"/>
  <c r="AB81" i="1"/>
  <c r="U82" i="1"/>
  <c r="V82" i="1"/>
  <c r="W82" i="1"/>
  <c r="Z82" i="1"/>
  <c r="AA82" i="1"/>
  <c r="AB82" i="1"/>
  <c r="U83" i="1"/>
  <c r="V83" i="1"/>
  <c r="W83" i="1"/>
  <c r="Z83" i="1"/>
  <c r="AA83" i="1"/>
  <c r="AB83" i="1"/>
  <c r="U84" i="1"/>
  <c r="V84" i="1"/>
  <c r="W84" i="1"/>
  <c r="Z84" i="1"/>
  <c r="AA84" i="1"/>
  <c r="AB84" i="1"/>
  <c r="U85" i="1"/>
  <c r="V85" i="1"/>
  <c r="W85" i="1"/>
  <c r="Z85" i="1"/>
  <c r="AA85" i="1"/>
  <c r="AB85" i="1"/>
  <c r="U86" i="1"/>
  <c r="V86" i="1"/>
  <c r="W86" i="1"/>
  <c r="Z86" i="1"/>
  <c r="AA86" i="1"/>
  <c r="AB86" i="1"/>
  <c r="U87" i="1"/>
  <c r="V87" i="1"/>
  <c r="W87" i="1"/>
  <c r="Z87" i="1"/>
  <c r="AA87" i="1"/>
  <c r="AB87" i="1"/>
  <c r="U88" i="1"/>
  <c r="V88" i="1"/>
  <c r="W88" i="1"/>
  <c r="Z88" i="1"/>
  <c r="AA88" i="1"/>
  <c r="AB88" i="1"/>
  <c r="U89" i="1"/>
  <c r="V89" i="1"/>
  <c r="W89" i="1"/>
  <c r="Z89" i="1"/>
  <c r="AA89" i="1"/>
  <c r="AB89" i="1"/>
  <c r="U90" i="1"/>
  <c r="V90" i="1"/>
  <c r="W90" i="1"/>
  <c r="Z90" i="1"/>
  <c r="AA90" i="1"/>
  <c r="AB90" i="1"/>
  <c r="U91" i="1"/>
  <c r="V91" i="1"/>
  <c r="W91" i="1"/>
  <c r="Z91" i="1"/>
  <c r="AA91" i="1"/>
  <c r="AB91" i="1"/>
  <c r="U92" i="1"/>
  <c r="V92" i="1"/>
  <c r="W92" i="1"/>
  <c r="Z92" i="1"/>
  <c r="AA92" i="1"/>
  <c r="AB92" i="1"/>
  <c r="U93" i="1"/>
  <c r="V93" i="1"/>
  <c r="W93" i="1"/>
  <c r="Z93" i="1"/>
  <c r="AA93" i="1"/>
  <c r="AB93" i="1"/>
  <c r="U94" i="1"/>
  <c r="V94" i="1"/>
  <c r="W94" i="1"/>
  <c r="Z94" i="1"/>
  <c r="AA94" i="1"/>
  <c r="AB94" i="1"/>
  <c r="U95" i="1"/>
  <c r="V95" i="1"/>
  <c r="W95" i="1"/>
  <c r="Z95" i="1"/>
  <c r="AA95" i="1"/>
  <c r="AB95" i="1"/>
  <c r="U96" i="1"/>
  <c r="V96" i="1"/>
  <c r="W96" i="1"/>
  <c r="Z96" i="1"/>
  <c r="AA96" i="1"/>
  <c r="AB96" i="1"/>
  <c r="U97" i="1"/>
  <c r="V97" i="1"/>
  <c r="W97" i="1"/>
  <c r="Z97" i="1"/>
  <c r="AA97" i="1"/>
  <c r="AB97" i="1"/>
  <c r="U98" i="1"/>
  <c r="V98" i="1"/>
  <c r="W98" i="1"/>
  <c r="Z98" i="1"/>
  <c r="AA98" i="1"/>
  <c r="AB98" i="1"/>
  <c r="U99" i="1"/>
  <c r="V99" i="1"/>
  <c r="W99" i="1"/>
  <c r="Z99" i="1"/>
  <c r="AA99" i="1"/>
  <c r="AB99" i="1"/>
  <c r="U100" i="1"/>
  <c r="V100" i="1"/>
  <c r="W100" i="1"/>
  <c r="Z100" i="1"/>
  <c r="AA100" i="1"/>
  <c r="AB100" i="1"/>
  <c r="U101" i="1"/>
  <c r="V101" i="1"/>
  <c r="W101" i="1"/>
  <c r="Z101" i="1"/>
  <c r="AA101" i="1"/>
  <c r="AB101" i="1"/>
  <c r="U102" i="1"/>
  <c r="V102" i="1"/>
  <c r="W102" i="1"/>
  <c r="Z102" i="1"/>
  <c r="AA102" i="1"/>
  <c r="AB102" i="1"/>
  <c r="U103" i="1"/>
  <c r="V103" i="1"/>
  <c r="W103" i="1"/>
  <c r="Z103" i="1"/>
  <c r="AA103" i="1"/>
  <c r="AB103" i="1"/>
  <c r="U104" i="1"/>
  <c r="V104" i="1"/>
  <c r="W104" i="1"/>
  <c r="Z104" i="1"/>
  <c r="AA104" i="1"/>
  <c r="AB104" i="1"/>
  <c r="U105" i="1"/>
  <c r="V105" i="1"/>
  <c r="W105" i="1"/>
  <c r="Z105" i="1"/>
  <c r="AA105" i="1"/>
  <c r="AB105" i="1"/>
  <c r="U106" i="1"/>
  <c r="V106" i="1"/>
  <c r="W106" i="1"/>
  <c r="Z106" i="1"/>
  <c r="AA106" i="1"/>
  <c r="AB106" i="1"/>
  <c r="U107" i="1"/>
  <c r="V107" i="1"/>
  <c r="W107" i="1"/>
  <c r="Z107" i="1"/>
  <c r="AA107" i="1"/>
  <c r="AB107" i="1"/>
  <c r="U108" i="1"/>
  <c r="V108" i="1"/>
  <c r="W108" i="1"/>
  <c r="Z108" i="1"/>
  <c r="AA108" i="1"/>
  <c r="AB108" i="1"/>
  <c r="U109" i="1"/>
  <c r="V109" i="1"/>
  <c r="W109" i="1"/>
  <c r="Z109" i="1"/>
  <c r="AA109" i="1"/>
  <c r="AB109" i="1"/>
  <c r="U110" i="1"/>
  <c r="V110" i="1"/>
  <c r="W110" i="1"/>
  <c r="Z110" i="1"/>
  <c r="AA110" i="1"/>
  <c r="AB110" i="1"/>
  <c r="U111" i="1"/>
  <c r="V111" i="1"/>
  <c r="W111" i="1"/>
  <c r="Z111" i="1"/>
  <c r="AA111" i="1"/>
  <c r="AB111" i="1"/>
  <c r="U112" i="1"/>
  <c r="V112" i="1"/>
  <c r="W112" i="1"/>
  <c r="Z112" i="1"/>
  <c r="AA112" i="1"/>
  <c r="AB112" i="1"/>
  <c r="U113" i="1"/>
  <c r="V113" i="1"/>
  <c r="W113" i="1"/>
  <c r="Z113" i="1"/>
  <c r="AA113" i="1"/>
  <c r="AB113" i="1"/>
  <c r="U114" i="1"/>
  <c r="V114" i="1"/>
  <c r="W114" i="1"/>
  <c r="Z114" i="1"/>
  <c r="AA114" i="1"/>
  <c r="AB114" i="1"/>
  <c r="U115" i="1"/>
  <c r="V115" i="1"/>
  <c r="W115" i="1"/>
  <c r="Z115" i="1"/>
  <c r="AA115" i="1"/>
  <c r="AB115" i="1"/>
  <c r="U116" i="1"/>
  <c r="V116" i="1"/>
  <c r="W116" i="1"/>
  <c r="Z116" i="1"/>
  <c r="AA116" i="1"/>
  <c r="AB116" i="1"/>
  <c r="U117" i="1"/>
  <c r="V117" i="1"/>
  <c r="W117" i="1"/>
  <c r="Z117" i="1"/>
  <c r="AA117" i="1"/>
  <c r="AB117" i="1"/>
  <c r="U118" i="1"/>
  <c r="V118" i="1"/>
  <c r="W118" i="1"/>
  <c r="Z118" i="1"/>
  <c r="AA118" i="1"/>
  <c r="AB118" i="1"/>
  <c r="U119" i="1"/>
  <c r="V119" i="1"/>
  <c r="W119" i="1"/>
  <c r="Z119" i="1"/>
  <c r="AA119" i="1"/>
  <c r="AB119" i="1"/>
  <c r="U120" i="1"/>
  <c r="V120" i="1"/>
  <c r="W120" i="1"/>
  <c r="Z120" i="1"/>
  <c r="AA120" i="1"/>
  <c r="AB120" i="1"/>
  <c r="U121" i="1"/>
  <c r="V121" i="1"/>
  <c r="W121" i="1"/>
  <c r="Z121" i="1"/>
  <c r="AA121" i="1"/>
  <c r="AB121" i="1"/>
  <c r="U122" i="1"/>
  <c r="V122" i="1"/>
  <c r="W122" i="1"/>
  <c r="Z122" i="1"/>
  <c r="AA122" i="1"/>
  <c r="AB122" i="1"/>
  <c r="U123" i="1"/>
  <c r="V123" i="1"/>
  <c r="W123" i="1"/>
  <c r="Z123" i="1"/>
  <c r="AA123" i="1"/>
  <c r="AB123" i="1"/>
  <c r="U124" i="1"/>
  <c r="V124" i="1"/>
  <c r="W124" i="1"/>
  <c r="Z124" i="1"/>
  <c r="AA124" i="1"/>
  <c r="AB124" i="1"/>
  <c r="U125" i="1"/>
  <c r="V125" i="1"/>
  <c r="W125" i="1"/>
  <c r="Z125" i="1"/>
  <c r="AA125" i="1"/>
  <c r="AB125" i="1"/>
  <c r="U126" i="1"/>
  <c r="V126" i="1"/>
  <c r="W126" i="1"/>
  <c r="Z126" i="1"/>
  <c r="AA126" i="1"/>
  <c r="AB126" i="1"/>
  <c r="U127" i="1"/>
  <c r="V127" i="1"/>
  <c r="W127" i="1"/>
  <c r="Z127" i="1"/>
  <c r="AA127" i="1"/>
  <c r="AB127" i="1"/>
  <c r="U128" i="1"/>
  <c r="V128" i="1"/>
  <c r="W128" i="1"/>
  <c r="Z128" i="1"/>
  <c r="AA128" i="1"/>
  <c r="AB128" i="1"/>
  <c r="U129" i="1"/>
  <c r="V129" i="1"/>
  <c r="W129" i="1"/>
  <c r="Z129" i="1"/>
  <c r="AA129" i="1"/>
  <c r="AB129" i="1"/>
  <c r="U130" i="1"/>
  <c r="V130" i="1"/>
  <c r="W130" i="1"/>
  <c r="Z130" i="1"/>
  <c r="AA130" i="1"/>
  <c r="AB130" i="1"/>
  <c r="U131" i="1"/>
  <c r="V131" i="1"/>
  <c r="W131" i="1"/>
  <c r="Z131" i="1"/>
  <c r="AA131" i="1"/>
  <c r="AB131" i="1"/>
  <c r="U132" i="1"/>
  <c r="V132" i="1"/>
  <c r="W132" i="1"/>
  <c r="Z132" i="1"/>
  <c r="AA132" i="1"/>
  <c r="AB132" i="1"/>
  <c r="U133" i="1"/>
  <c r="V133" i="1"/>
  <c r="Y133" i="1" s="1"/>
  <c r="W133" i="1"/>
  <c r="Z133" i="1"/>
  <c r="AA133" i="1"/>
  <c r="AB133" i="1"/>
  <c r="U134" i="1"/>
  <c r="V134" i="1"/>
  <c r="W134" i="1"/>
  <c r="Z134" i="1"/>
  <c r="AA134" i="1"/>
  <c r="AB134" i="1"/>
  <c r="U135" i="1"/>
  <c r="V135" i="1"/>
  <c r="W135" i="1"/>
  <c r="Z135" i="1"/>
  <c r="AA135" i="1"/>
  <c r="AB135" i="1"/>
  <c r="U136" i="1"/>
  <c r="V136" i="1"/>
  <c r="W136" i="1"/>
  <c r="Z136" i="1"/>
  <c r="AA136" i="1"/>
  <c r="AB136" i="1"/>
  <c r="U137" i="1"/>
  <c r="V137" i="1"/>
  <c r="W137" i="1"/>
  <c r="Z137" i="1"/>
  <c r="AA137" i="1"/>
  <c r="AB137" i="1"/>
  <c r="U138" i="1"/>
  <c r="V138" i="1"/>
  <c r="W138" i="1"/>
  <c r="Z138" i="1"/>
  <c r="AA138" i="1"/>
  <c r="AB138" i="1"/>
  <c r="U139" i="1"/>
  <c r="V139" i="1"/>
  <c r="W139" i="1"/>
  <c r="Z139" i="1"/>
  <c r="AA139" i="1"/>
  <c r="AB139" i="1"/>
  <c r="U140" i="1"/>
  <c r="V140" i="1"/>
  <c r="W140" i="1"/>
  <c r="Z140" i="1"/>
  <c r="AA140" i="1"/>
  <c r="AB140" i="1"/>
  <c r="U141" i="1"/>
  <c r="V141" i="1"/>
  <c r="W141" i="1"/>
  <c r="Z141" i="1"/>
  <c r="AA141" i="1"/>
  <c r="AB141" i="1"/>
  <c r="U142" i="1"/>
  <c r="V142" i="1"/>
  <c r="W142" i="1"/>
  <c r="Z142" i="1"/>
  <c r="AA142" i="1"/>
  <c r="AB142" i="1"/>
  <c r="U143" i="1"/>
  <c r="V143" i="1"/>
  <c r="W143" i="1"/>
  <c r="Z143" i="1"/>
  <c r="AA143" i="1"/>
  <c r="AB143" i="1"/>
  <c r="U144" i="1"/>
  <c r="V144" i="1"/>
  <c r="W144" i="1"/>
  <c r="Z144" i="1"/>
  <c r="AA144" i="1"/>
  <c r="AB144" i="1"/>
  <c r="U145" i="1"/>
  <c r="V145" i="1"/>
  <c r="W145" i="1"/>
  <c r="Z145" i="1"/>
  <c r="AA145" i="1"/>
  <c r="AB145" i="1"/>
  <c r="U146" i="1"/>
  <c r="V146" i="1"/>
  <c r="W146" i="1"/>
  <c r="Z146" i="1"/>
  <c r="AA146" i="1"/>
  <c r="AB146" i="1"/>
  <c r="U147" i="1"/>
  <c r="V147" i="1"/>
  <c r="W147" i="1"/>
  <c r="Z147" i="1"/>
  <c r="AA147" i="1"/>
  <c r="AB147" i="1"/>
  <c r="U148" i="1"/>
  <c r="V148" i="1"/>
  <c r="W148" i="1"/>
  <c r="Z148" i="1"/>
  <c r="AA148" i="1"/>
  <c r="AB148" i="1"/>
  <c r="U149" i="1"/>
  <c r="V149" i="1"/>
  <c r="W149" i="1"/>
  <c r="Z149" i="1"/>
  <c r="AA149" i="1"/>
  <c r="AB149" i="1"/>
  <c r="U150" i="1"/>
  <c r="V150" i="1"/>
  <c r="W150" i="1"/>
  <c r="Z150" i="1"/>
  <c r="AA150" i="1"/>
  <c r="AB150" i="1"/>
  <c r="U151" i="1"/>
  <c r="V151" i="1"/>
  <c r="W151" i="1"/>
  <c r="Z151" i="1"/>
  <c r="AA151" i="1"/>
  <c r="AB151" i="1"/>
  <c r="U152" i="1"/>
  <c r="V152" i="1"/>
  <c r="W152" i="1"/>
  <c r="Z152" i="1"/>
  <c r="AA152" i="1"/>
  <c r="AB152" i="1"/>
  <c r="U153" i="1"/>
  <c r="V153" i="1"/>
  <c r="W153" i="1"/>
  <c r="Z153" i="1"/>
  <c r="AA153" i="1"/>
  <c r="AB153" i="1"/>
  <c r="U154" i="1"/>
  <c r="V154" i="1"/>
  <c r="W154" i="1"/>
  <c r="Z154" i="1"/>
  <c r="AA154" i="1"/>
  <c r="AB154" i="1"/>
  <c r="U155" i="1"/>
  <c r="V155" i="1"/>
  <c r="W155" i="1"/>
  <c r="Z155" i="1"/>
  <c r="AA155" i="1"/>
  <c r="AB155" i="1"/>
  <c r="U156" i="1"/>
  <c r="V156" i="1"/>
  <c r="W156" i="1"/>
  <c r="Z156" i="1"/>
  <c r="AA156" i="1"/>
  <c r="AB156" i="1"/>
  <c r="U157" i="1"/>
  <c r="V157" i="1"/>
  <c r="W157" i="1"/>
  <c r="Z157" i="1"/>
  <c r="AA157" i="1"/>
  <c r="AB157" i="1"/>
  <c r="U158" i="1"/>
  <c r="V158" i="1"/>
  <c r="W158" i="1"/>
  <c r="Z158" i="1"/>
  <c r="AA158" i="1"/>
  <c r="AB158" i="1"/>
  <c r="U159" i="1"/>
  <c r="V159" i="1"/>
  <c r="W159" i="1"/>
  <c r="Z159" i="1"/>
  <c r="AA159" i="1"/>
  <c r="AB159" i="1"/>
  <c r="U160" i="1"/>
  <c r="V160" i="1"/>
  <c r="W160" i="1"/>
  <c r="Z160" i="1"/>
  <c r="AA160" i="1"/>
  <c r="AB160" i="1"/>
  <c r="U161" i="1"/>
  <c r="V161" i="1"/>
  <c r="W161" i="1"/>
  <c r="Z161" i="1"/>
  <c r="AA161" i="1"/>
  <c r="AB161" i="1"/>
  <c r="U162" i="1"/>
  <c r="V162" i="1"/>
  <c r="W162" i="1"/>
  <c r="Z162" i="1"/>
  <c r="AA162" i="1"/>
  <c r="AB162" i="1"/>
  <c r="U163" i="1"/>
  <c r="V163" i="1"/>
  <c r="W163" i="1"/>
  <c r="Z163" i="1"/>
  <c r="AA163" i="1"/>
  <c r="AB163" i="1"/>
  <c r="U164" i="1"/>
  <c r="V164" i="1"/>
  <c r="W164" i="1"/>
  <c r="Z164" i="1"/>
  <c r="AA164" i="1"/>
  <c r="AB164" i="1"/>
  <c r="U165" i="1"/>
  <c r="V165" i="1"/>
  <c r="W165" i="1"/>
  <c r="Z165" i="1"/>
  <c r="AA165" i="1"/>
  <c r="AB165" i="1"/>
  <c r="U166" i="1"/>
  <c r="V166" i="1"/>
  <c r="W166" i="1"/>
  <c r="Z166" i="1"/>
  <c r="AA166" i="1"/>
  <c r="AB166" i="1"/>
  <c r="U167" i="1"/>
  <c r="V167" i="1"/>
  <c r="W167" i="1"/>
  <c r="Z167" i="1"/>
  <c r="AA167" i="1"/>
  <c r="AB167" i="1"/>
  <c r="U168" i="1"/>
  <c r="V168" i="1"/>
  <c r="W168" i="1"/>
  <c r="Z168" i="1"/>
  <c r="AA168" i="1"/>
  <c r="AB168" i="1"/>
  <c r="U169" i="1"/>
  <c r="V169" i="1"/>
  <c r="W169" i="1"/>
  <c r="Z169" i="1"/>
  <c r="AA169" i="1"/>
  <c r="AB169" i="1"/>
  <c r="U170" i="1"/>
  <c r="V170" i="1"/>
  <c r="W170" i="1"/>
  <c r="Z170" i="1"/>
  <c r="AA170" i="1"/>
  <c r="AB170" i="1"/>
  <c r="U171" i="1"/>
  <c r="V171" i="1"/>
  <c r="W171" i="1"/>
  <c r="Z171" i="1"/>
  <c r="AA171" i="1"/>
  <c r="AB171" i="1"/>
  <c r="U172" i="1"/>
  <c r="V172" i="1"/>
  <c r="W172" i="1"/>
  <c r="Z172" i="1"/>
  <c r="AA172" i="1"/>
  <c r="AB172" i="1"/>
  <c r="U173" i="1"/>
  <c r="V173" i="1"/>
  <c r="W173" i="1"/>
  <c r="Z173" i="1"/>
  <c r="AA173" i="1"/>
  <c r="AB173" i="1"/>
  <c r="U174" i="1"/>
  <c r="V174" i="1"/>
  <c r="W174" i="1"/>
  <c r="Z174" i="1"/>
  <c r="AA174" i="1"/>
  <c r="AB174" i="1"/>
  <c r="U175" i="1"/>
  <c r="V175" i="1"/>
  <c r="W175" i="1"/>
  <c r="Z175" i="1"/>
  <c r="AA175" i="1"/>
  <c r="AB175" i="1"/>
  <c r="U176" i="1"/>
  <c r="V176" i="1"/>
  <c r="W176" i="1"/>
  <c r="Z176" i="1"/>
  <c r="AA176" i="1"/>
  <c r="AB176" i="1"/>
  <c r="U177" i="1"/>
  <c r="V177" i="1"/>
  <c r="W177" i="1"/>
  <c r="Z177" i="1"/>
  <c r="AA177" i="1"/>
  <c r="AB177" i="1"/>
  <c r="U178" i="1"/>
  <c r="V178" i="1"/>
  <c r="W178" i="1"/>
  <c r="Z178" i="1"/>
  <c r="AA178" i="1"/>
  <c r="AB178" i="1"/>
  <c r="U179" i="1"/>
  <c r="V179" i="1"/>
  <c r="W179" i="1"/>
  <c r="Z179" i="1"/>
  <c r="AA179" i="1"/>
  <c r="AB179" i="1"/>
  <c r="U180" i="1"/>
  <c r="V180" i="1"/>
  <c r="W180" i="1"/>
  <c r="Z180" i="1"/>
  <c r="AA180" i="1"/>
  <c r="AB180" i="1"/>
  <c r="U181" i="1"/>
  <c r="V181" i="1"/>
  <c r="W181" i="1"/>
  <c r="Z181" i="1"/>
  <c r="AA181" i="1"/>
  <c r="AB181" i="1"/>
  <c r="U182" i="1"/>
  <c r="V182" i="1"/>
  <c r="W182" i="1"/>
  <c r="Z182" i="1"/>
  <c r="AA182" i="1"/>
  <c r="AB182" i="1"/>
  <c r="U183" i="1"/>
  <c r="V183" i="1"/>
  <c r="W183" i="1"/>
  <c r="Z183" i="1"/>
  <c r="AA183" i="1"/>
  <c r="AB183" i="1"/>
  <c r="U184" i="1"/>
  <c r="V184" i="1"/>
  <c r="W184" i="1"/>
  <c r="Z184" i="1"/>
  <c r="AA184" i="1"/>
  <c r="AB184" i="1"/>
  <c r="U185" i="1"/>
  <c r="V185" i="1"/>
  <c r="W185" i="1"/>
  <c r="Z185" i="1"/>
  <c r="AA185" i="1"/>
  <c r="AB185" i="1"/>
  <c r="U186" i="1"/>
  <c r="V186" i="1"/>
  <c r="W186" i="1"/>
  <c r="Z186" i="1"/>
  <c r="AA186" i="1"/>
  <c r="AB186" i="1"/>
  <c r="U187" i="1"/>
  <c r="V187" i="1"/>
  <c r="W187" i="1"/>
  <c r="Z187" i="1"/>
  <c r="AA187" i="1"/>
  <c r="AB187" i="1"/>
  <c r="U188" i="1"/>
  <c r="V188" i="1"/>
  <c r="W188" i="1"/>
  <c r="Z188" i="1"/>
  <c r="AA188" i="1"/>
  <c r="AB188" i="1"/>
  <c r="U189" i="1"/>
  <c r="V189" i="1"/>
  <c r="W189" i="1"/>
  <c r="Z189" i="1"/>
  <c r="AA189" i="1"/>
  <c r="AB189" i="1"/>
  <c r="U190" i="1"/>
  <c r="V190" i="1"/>
  <c r="W190" i="1"/>
  <c r="Z190" i="1"/>
  <c r="AA190" i="1"/>
  <c r="AB190" i="1"/>
  <c r="U191" i="1"/>
  <c r="V191" i="1"/>
  <c r="W191" i="1"/>
  <c r="Z191" i="1"/>
  <c r="AA191" i="1"/>
  <c r="AB191" i="1"/>
  <c r="U192" i="1"/>
  <c r="V192" i="1"/>
  <c r="W192" i="1"/>
  <c r="Z192" i="1"/>
  <c r="AA192" i="1"/>
  <c r="AB192" i="1"/>
  <c r="U193" i="1"/>
  <c r="V193" i="1"/>
  <c r="W193" i="1"/>
  <c r="Z193" i="1"/>
  <c r="AA193" i="1"/>
  <c r="AB193" i="1"/>
  <c r="U194" i="1"/>
  <c r="V194" i="1"/>
  <c r="W194" i="1"/>
  <c r="Z194" i="1"/>
  <c r="AA194" i="1"/>
  <c r="AB194" i="1"/>
  <c r="U195" i="1"/>
  <c r="V195" i="1"/>
  <c r="W195" i="1"/>
  <c r="Z195" i="1"/>
  <c r="AA195" i="1"/>
  <c r="AB195" i="1"/>
  <c r="U196" i="1"/>
  <c r="V196" i="1"/>
  <c r="W196" i="1"/>
  <c r="Z196" i="1"/>
  <c r="AA196" i="1"/>
  <c r="AB196" i="1"/>
  <c r="U197" i="1"/>
  <c r="V197" i="1"/>
  <c r="W197" i="1"/>
  <c r="Z197" i="1"/>
  <c r="AA197" i="1"/>
  <c r="AB197" i="1"/>
  <c r="U198" i="1"/>
  <c r="V198" i="1"/>
  <c r="W198" i="1"/>
  <c r="Z198" i="1"/>
  <c r="AA198" i="1"/>
  <c r="AB198" i="1"/>
  <c r="U199" i="1"/>
  <c r="V199" i="1"/>
  <c r="W199" i="1"/>
  <c r="Z199" i="1"/>
  <c r="AA199" i="1"/>
  <c r="AB199" i="1"/>
  <c r="U200" i="1"/>
  <c r="V200" i="1"/>
  <c r="W200" i="1"/>
  <c r="Z200" i="1"/>
  <c r="AA200" i="1"/>
  <c r="AB200" i="1"/>
  <c r="U201" i="1"/>
  <c r="V201" i="1"/>
  <c r="W201" i="1"/>
  <c r="Z201" i="1"/>
  <c r="AA201" i="1"/>
  <c r="AB201" i="1"/>
  <c r="U202" i="1"/>
  <c r="V202" i="1"/>
  <c r="W202" i="1"/>
  <c r="Z202" i="1"/>
  <c r="AA202" i="1"/>
  <c r="AB202" i="1"/>
  <c r="U203" i="1"/>
  <c r="V203" i="1"/>
  <c r="W203" i="1"/>
  <c r="Z203" i="1"/>
  <c r="AA203" i="1"/>
  <c r="AB203" i="1"/>
  <c r="U204" i="1"/>
  <c r="V204" i="1"/>
  <c r="W204" i="1"/>
  <c r="Z204" i="1"/>
  <c r="AA204" i="1"/>
  <c r="AB204" i="1"/>
  <c r="U205" i="1"/>
  <c r="V205" i="1"/>
  <c r="W205" i="1"/>
  <c r="Z205" i="1"/>
  <c r="AA205" i="1"/>
  <c r="AB205" i="1"/>
  <c r="U206" i="1"/>
  <c r="V206" i="1"/>
  <c r="W206" i="1"/>
  <c r="Z206" i="1"/>
  <c r="AA206" i="1"/>
  <c r="AB206" i="1"/>
  <c r="U207" i="1"/>
  <c r="V207" i="1"/>
  <c r="W207" i="1"/>
  <c r="Z207" i="1"/>
  <c r="AA207" i="1"/>
  <c r="AB207" i="1"/>
  <c r="U208" i="1"/>
  <c r="V208" i="1"/>
  <c r="W208" i="1"/>
  <c r="Z208" i="1"/>
  <c r="AA208" i="1"/>
  <c r="AB208" i="1"/>
  <c r="U209" i="1"/>
  <c r="V209" i="1"/>
  <c r="W209" i="1"/>
  <c r="Z209" i="1"/>
  <c r="AA209" i="1"/>
  <c r="AB209" i="1"/>
  <c r="U210" i="1"/>
  <c r="V210" i="1"/>
  <c r="W210" i="1"/>
  <c r="Z210" i="1"/>
  <c r="AA210" i="1"/>
  <c r="AB210" i="1"/>
  <c r="U211" i="1"/>
  <c r="V211" i="1"/>
  <c r="W211" i="1"/>
  <c r="Z211" i="1"/>
  <c r="AA211" i="1"/>
  <c r="AB211" i="1"/>
  <c r="U212" i="1"/>
  <c r="V212" i="1"/>
  <c r="W212" i="1"/>
  <c r="Z212" i="1"/>
  <c r="AA212" i="1"/>
  <c r="AB212" i="1"/>
  <c r="U213" i="1"/>
  <c r="V213" i="1"/>
  <c r="W213" i="1"/>
  <c r="Z213" i="1"/>
  <c r="AA213" i="1"/>
  <c r="AB213" i="1"/>
  <c r="Z2" i="1"/>
  <c r="T17" i="1"/>
  <c r="T16" i="1"/>
  <c r="T18" i="1" s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U29" i="1"/>
  <c r="V29" i="1"/>
  <c r="W29" i="1"/>
  <c r="U30" i="1"/>
  <c r="V30" i="1"/>
  <c r="W30" i="1"/>
  <c r="U31" i="1"/>
  <c r="V31" i="1"/>
  <c r="W31" i="1"/>
  <c r="U32" i="1"/>
  <c r="V32" i="1"/>
  <c r="W32" i="1"/>
  <c r="T8" i="1"/>
  <c r="T7" i="1"/>
  <c r="V2" i="1"/>
  <c r="W2" i="1"/>
  <c r="U2" i="1"/>
  <c r="Y53" i="1" l="1"/>
  <c r="Y207" i="1"/>
  <c r="Y166" i="1"/>
  <c r="Y33" i="1"/>
  <c r="Y185" i="1"/>
  <c r="X41" i="1"/>
  <c r="X197" i="1"/>
  <c r="X177" i="1"/>
  <c r="Y91" i="1"/>
  <c r="X69" i="1"/>
  <c r="X59" i="1"/>
  <c r="Y191" i="1"/>
  <c r="X161" i="1"/>
  <c r="X172" i="1"/>
  <c r="X194" i="1"/>
  <c r="X174" i="1"/>
  <c r="Y71" i="1"/>
  <c r="Y210" i="1"/>
  <c r="X199" i="1"/>
  <c r="Y179" i="1"/>
  <c r="Y109" i="1"/>
  <c r="X211" i="1"/>
  <c r="Y204" i="1"/>
  <c r="X168" i="1"/>
  <c r="X204" i="1"/>
  <c r="X184" i="1"/>
  <c r="X178" i="1"/>
  <c r="X71" i="1"/>
  <c r="Y180" i="1"/>
  <c r="X137" i="1"/>
  <c r="Y196" i="1"/>
  <c r="Y93" i="1"/>
  <c r="Y73" i="1"/>
  <c r="X179" i="1"/>
  <c r="X182" i="1"/>
  <c r="X191" i="1"/>
  <c r="X195" i="1"/>
  <c r="Y175" i="1"/>
  <c r="X206" i="1"/>
  <c r="X180" i="1"/>
  <c r="Y174" i="1"/>
  <c r="Y151" i="1"/>
  <c r="X131" i="1"/>
  <c r="X91" i="1"/>
  <c r="X85" i="1"/>
  <c r="Y111" i="1"/>
  <c r="X209" i="1"/>
  <c r="Y164" i="1"/>
  <c r="X202" i="1"/>
  <c r="Y199" i="1"/>
  <c r="X196" i="1"/>
  <c r="X186" i="1"/>
  <c r="X157" i="1"/>
  <c r="X189" i="1"/>
  <c r="X170" i="1"/>
  <c r="Y127" i="1"/>
  <c r="X117" i="1"/>
  <c r="X77" i="1"/>
  <c r="X205" i="1"/>
  <c r="X173" i="1"/>
  <c r="X87" i="1"/>
  <c r="X176" i="1"/>
  <c r="AC166" i="1"/>
  <c r="Y153" i="1"/>
  <c r="X103" i="1"/>
  <c r="X198" i="1"/>
  <c r="Y182" i="1"/>
  <c r="X123" i="1"/>
  <c r="Y113" i="1"/>
  <c r="X83" i="1"/>
  <c r="Y187" i="1"/>
  <c r="X201" i="1"/>
  <c r="X185" i="1"/>
  <c r="X76" i="1"/>
  <c r="Y89" i="1"/>
  <c r="X165" i="1"/>
  <c r="X210" i="1"/>
  <c r="X187" i="1"/>
  <c r="X181" i="1"/>
  <c r="Y209" i="1"/>
  <c r="Y189" i="1"/>
  <c r="Y186" i="1"/>
  <c r="X147" i="1"/>
  <c r="X127" i="1"/>
  <c r="Y206" i="1"/>
  <c r="Y192" i="1"/>
  <c r="AC169" i="1"/>
  <c r="X163" i="1"/>
  <c r="Y212" i="1"/>
  <c r="X169" i="1"/>
  <c r="X166" i="1"/>
  <c r="AC71" i="1"/>
  <c r="AC68" i="1"/>
  <c r="Y211" i="1"/>
  <c r="X203" i="1"/>
  <c r="X200" i="1"/>
  <c r="Y194" i="1"/>
  <c r="Y143" i="1"/>
  <c r="Y107" i="1"/>
  <c r="X97" i="1"/>
  <c r="X175" i="1"/>
  <c r="X61" i="1"/>
  <c r="Y197" i="1"/>
  <c r="X183" i="1"/>
  <c r="Y172" i="1"/>
  <c r="X136" i="1"/>
  <c r="X133" i="1"/>
  <c r="Y123" i="1"/>
  <c r="X162" i="1"/>
  <c r="Y149" i="1"/>
  <c r="X126" i="1"/>
  <c r="AC119" i="1"/>
  <c r="Y51" i="1"/>
  <c r="X208" i="1"/>
  <c r="Y205" i="1"/>
  <c r="X188" i="1"/>
  <c r="Y168" i="1"/>
  <c r="X106" i="1"/>
  <c r="X67" i="1"/>
  <c r="Y177" i="1"/>
  <c r="Y202" i="1"/>
  <c r="X155" i="1"/>
  <c r="AC138" i="1"/>
  <c r="X99" i="1"/>
  <c r="X213" i="1"/>
  <c r="X207" i="1"/>
  <c r="X193" i="1"/>
  <c r="X190" i="1"/>
  <c r="Y176" i="1"/>
  <c r="X151" i="1"/>
  <c r="Y201" i="1"/>
  <c r="X167" i="1"/>
  <c r="X164" i="1"/>
  <c r="X141" i="1"/>
  <c r="X115" i="1"/>
  <c r="Y184" i="1"/>
  <c r="Y69" i="1"/>
  <c r="X212" i="1"/>
  <c r="Y181" i="1"/>
  <c r="X192" i="1"/>
  <c r="X111" i="1"/>
  <c r="X101" i="1"/>
  <c r="X33" i="1"/>
  <c r="AC87" i="1"/>
  <c r="AC204" i="1"/>
  <c r="AC199" i="1"/>
  <c r="AC194" i="1"/>
  <c r="AC189" i="1"/>
  <c r="AC184" i="1"/>
  <c r="AC179" i="1"/>
  <c r="AC174" i="1"/>
  <c r="AC163" i="1"/>
  <c r="AC160" i="1"/>
  <c r="AD141" i="1"/>
  <c r="X135" i="1"/>
  <c r="X129" i="1"/>
  <c r="X65" i="1"/>
  <c r="X55" i="1"/>
  <c r="X39" i="1"/>
  <c r="X119" i="1"/>
  <c r="AC109" i="1"/>
  <c r="X74" i="1"/>
  <c r="Y157" i="1"/>
  <c r="AC131" i="1"/>
  <c r="AC96" i="1"/>
  <c r="AC80" i="1"/>
  <c r="AC51" i="1"/>
  <c r="AC48" i="1"/>
  <c r="Y131" i="1"/>
  <c r="Y87" i="1"/>
  <c r="X144" i="1"/>
  <c r="X96" i="1"/>
  <c r="X93" i="1"/>
  <c r="Y77" i="1"/>
  <c r="X51" i="1"/>
  <c r="X45" i="1"/>
  <c r="X35" i="1"/>
  <c r="X171" i="1"/>
  <c r="X134" i="1"/>
  <c r="X125" i="1"/>
  <c r="X109" i="1"/>
  <c r="X54" i="1"/>
  <c r="X116" i="1"/>
  <c r="Y162" i="1"/>
  <c r="X156" i="1"/>
  <c r="X153" i="1"/>
  <c r="Y147" i="1"/>
  <c r="X121" i="1"/>
  <c r="AC58" i="1"/>
  <c r="Y137" i="1"/>
  <c r="X86" i="1"/>
  <c r="Y67" i="1"/>
  <c r="Y57" i="1"/>
  <c r="X145" i="1"/>
  <c r="Y213" i="1"/>
  <c r="Y208" i="1"/>
  <c r="Y203" i="1"/>
  <c r="Y198" i="1"/>
  <c r="Y193" i="1"/>
  <c r="Y188" i="1"/>
  <c r="Y183" i="1"/>
  <c r="Y178" i="1"/>
  <c r="Y173" i="1"/>
  <c r="X159" i="1"/>
  <c r="X73" i="1"/>
  <c r="X34" i="1"/>
  <c r="X154" i="1"/>
  <c r="AD74" i="1"/>
  <c r="X105" i="1"/>
  <c r="X89" i="1"/>
  <c r="X49" i="1"/>
  <c r="Y170" i="1"/>
  <c r="X143" i="1"/>
  <c r="X114" i="1"/>
  <c r="X95" i="1"/>
  <c r="X79" i="1"/>
  <c r="X63" i="1"/>
  <c r="X149" i="1"/>
  <c r="X146" i="1"/>
  <c r="Y47" i="1"/>
  <c r="Y37" i="1"/>
  <c r="Y200" i="1"/>
  <c r="Y195" i="1"/>
  <c r="Y190" i="1"/>
  <c r="X66" i="1"/>
  <c r="X56" i="1"/>
  <c r="X53" i="1"/>
  <c r="Y155" i="1"/>
  <c r="Y117" i="1"/>
  <c r="X139" i="1"/>
  <c r="X107" i="1"/>
  <c r="X43" i="1"/>
  <c r="X94" i="1"/>
  <c r="X75" i="1"/>
  <c r="Y49" i="1"/>
  <c r="X113" i="1"/>
  <c r="Y97" i="1"/>
  <c r="AC209" i="1"/>
  <c r="Y129" i="1"/>
  <c r="X81" i="1"/>
  <c r="X46" i="1"/>
  <c r="X36" i="1"/>
  <c r="AD134" i="1"/>
  <c r="AC38" i="1"/>
  <c r="AC206" i="1"/>
  <c r="AC150" i="1"/>
  <c r="AC140" i="1"/>
  <c r="AD105" i="1"/>
  <c r="AC76" i="1"/>
  <c r="AC213" i="1"/>
  <c r="AC208" i="1"/>
  <c r="AC203" i="1"/>
  <c r="AC198" i="1"/>
  <c r="AC193" i="1"/>
  <c r="AC188" i="1"/>
  <c r="AC183" i="1"/>
  <c r="AC178" i="1"/>
  <c r="AC173" i="1"/>
  <c r="AC143" i="1"/>
  <c r="AC111" i="1"/>
  <c r="AC108" i="1"/>
  <c r="AC79" i="1"/>
  <c r="AC47" i="1"/>
  <c r="AC147" i="1"/>
  <c r="AC128" i="1"/>
  <c r="AC99" i="1"/>
  <c r="AC211" i="1"/>
  <c r="AC191" i="1"/>
  <c r="AC67" i="1"/>
  <c r="AC165" i="1"/>
  <c r="AC127" i="1"/>
  <c r="AD114" i="1"/>
  <c r="AC98" i="1"/>
  <c r="AC196" i="1"/>
  <c r="AC168" i="1"/>
  <c r="AC60" i="1"/>
  <c r="AD22" i="1"/>
  <c r="AC170" i="1"/>
  <c r="AC152" i="1"/>
  <c r="AC149" i="1"/>
  <c r="AC136" i="1"/>
  <c r="AC69" i="1"/>
  <c r="AC56" i="1"/>
  <c r="AC40" i="1"/>
  <c r="AC176" i="1"/>
  <c r="AC210" i="1"/>
  <c r="AC195" i="1"/>
  <c r="AC190" i="1"/>
  <c r="AC185" i="1"/>
  <c r="AC180" i="1"/>
  <c r="AC175" i="1"/>
  <c r="AC167" i="1"/>
  <c r="AC164" i="1"/>
  <c r="AC158" i="1"/>
  <c r="AC139" i="1"/>
  <c r="AC120" i="1"/>
  <c r="AD85" i="1"/>
  <c r="AC159" i="1"/>
  <c r="AC91" i="1"/>
  <c r="AC88" i="1"/>
  <c r="AC59" i="1"/>
  <c r="AC41" i="1"/>
  <c r="AC50" i="1"/>
  <c r="AC61" i="1"/>
  <c r="AC70" i="1"/>
  <c r="AC81" i="1"/>
  <c r="AC90" i="1"/>
  <c r="AC101" i="1"/>
  <c r="AC110" i="1"/>
  <c r="AC121" i="1"/>
  <c r="AC130" i="1"/>
  <c r="AC141" i="1"/>
  <c r="AC106" i="1"/>
  <c r="AC55" i="1"/>
  <c r="AD41" i="1"/>
  <c r="AD50" i="1"/>
  <c r="AD61" i="1"/>
  <c r="AD70" i="1"/>
  <c r="AD81" i="1"/>
  <c r="AD90" i="1"/>
  <c r="AD101" i="1"/>
  <c r="AD110" i="1"/>
  <c r="AD121" i="1"/>
  <c r="AD130" i="1"/>
  <c r="AD150" i="1"/>
  <c r="AD161" i="1"/>
  <c r="AD163" i="1"/>
  <c r="AD173" i="1"/>
  <c r="AD185" i="1"/>
  <c r="AD205" i="1"/>
  <c r="AD209" i="1"/>
  <c r="AC37" i="1"/>
  <c r="AD31" i="1"/>
  <c r="AC64" i="1"/>
  <c r="AC62" i="1"/>
  <c r="AD42" i="1"/>
  <c r="AD73" i="1"/>
  <c r="AD133" i="1"/>
  <c r="AC53" i="1"/>
  <c r="AD122" i="1"/>
  <c r="AD37" i="1"/>
  <c r="AD46" i="1"/>
  <c r="AD57" i="1"/>
  <c r="AD66" i="1"/>
  <c r="AD77" i="1"/>
  <c r="AD86" i="1"/>
  <c r="AD97" i="1"/>
  <c r="AD106" i="1"/>
  <c r="AD117" i="1"/>
  <c r="AD126" i="1"/>
  <c r="AD137" i="1"/>
  <c r="AD146" i="1"/>
  <c r="AC73" i="1"/>
  <c r="AC102" i="1"/>
  <c r="AD35" i="1"/>
  <c r="AD44" i="1"/>
  <c r="AD55" i="1"/>
  <c r="AD64" i="1"/>
  <c r="AD75" i="1"/>
  <c r="AD84" i="1"/>
  <c r="AD95" i="1"/>
  <c r="AD104" i="1"/>
  <c r="AD115" i="1"/>
  <c r="AD124" i="1"/>
  <c r="AD135" i="1"/>
  <c r="AD144" i="1"/>
  <c r="AD155" i="1"/>
  <c r="AC33" i="1"/>
  <c r="AC77" i="1"/>
  <c r="AC144" i="1"/>
  <c r="AC93" i="1"/>
  <c r="AC133" i="1"/>
  <c r="AC146" i="1"/>
  <c r="AC75" i="1"/>
  <c r="AC153" i="1"/>
  <c r="AD62" i="1"/>
  <c r="AD93" i="1"/>
  <c r="AD113" i="1"/>
  <c r="AC35" i="1"/>
  <c r="AD53" i="1"/>
  <c r="AC95" i="1"/>
  <c r="AC135" i="1"/>
  <c r="AC122" i="1"/>
  <c r="AC44" i="1"/>
  <c r="AC124" i="1"/>
  <c r="AC113" i="1"/>
  <c r="AC142" i="1"/>
  <c r="AD142" i="1"/>
  <c r="AC34" i="1"/>
  <c r="AC45" i="1"/>
  <c r="AC54" i="1"/>
  <c r="AC65" i="1"/>
  <c r="AC74" i="1"/>
  <c r="AC85" i="1"/>
  <c r="AC94" i="1"/>
  <c r="AC105" i="1"/>
  <c r="AC114" i="1"/>
  <c r="AC125" i="1"/>
  <c r="AC134" i="1"/>
  <c r="AC145" i="1"/>
  <c r="AC154" i="1"/>
  <c r="AC155" i="1"/>
  <c r="AD82" i="1"/>
  <c r="AD102" i="1"/>
  <c r="AD34" i="1"/>
  <c r="AD45" i="1"/>
  <c r="AD54" i="1"/>
  <c r="AD125" i="1"/>
  <c r="AD145" i="1"/>
  <c r="AC46" i="1"/>
  <c r="AC97" i="1"/>
  <c r="AC117" i="1"/>
  <c r="AC126" i="1"/>
  <c r="AC84" i="1"/>
  <c r="AC104" i="1"/>
  <c r="AC115" i="1"/>
  <c r="AC82" i="1"/>
  <c r="AC43" i="1"/>
  <c r="AC52" i="1"/>
  <c r="AC63" i="1"/>
  <c r="AC72" i="1"/>
  <c r="AC83" i="1"/>
  <c r="AC92" i="1"/>
  <c r="AC103" i="1"/>
  <c r="AC112" i="1"/>
  <c r="AC123" i="1"/>
  <c r="AC132" i="1"/>
  <c r="AC57" i="1"/>
  <c r="AC86" i="1"/>
  <c r="AC157" i="1"/>
  <c r="AC42" i="1"/>
  <c r="AD33" i="1"/>
  <c r="AD153" i="1"/>
  <c r="AD43" i="1"/>
  <c r="AD52" i="1"/>
  <c r="AD63" i="1"/>
  <c r="AD72" i="1"/>
  <c r="AD83" i="1"/>
  <c r="AD92" i="1"/>
  <c r="AD103" i="1"/>
  <c r="AD112" i="1"/>
  <c r="AD123" i="1"/>
  <c r="AD132" i="1"/>
  <c r="AD143" i="1"/>
  <c r="AD152" i="1"/>
  <c r="AC66" i="1"/>
  <c r="AC137" i="1"/>
  <c r="AD157" i="1"/>
  <c r="AC201" i="1"/>
  <c r="AC181" i="1"/>
  <c r="AC156" i="1"/>
  <c r="AC89" i="1"/>
  <c r="AC200" i="1"/>
  <c r="AC161" i="1"/>
  <c r="AC107" i="1"/>
  <c r="AD94" i="1"/>
  <c r="AC78" i="1"/>
  <c r="AC49" i="1"/>
  <c r="AC36" i="1"/>
  <c r="AC162" i="1"/>
  <c r="AC212" i="1"/>
  <c r="AC207" i="1"/>
  <c r="AC202" i="1"/>
  <c r="AC197" i="1"/>
  <c r="AC192" i="1"/>
  <c r="AC187" i="1"/>
  <c r="AC182" i="1"/>
  <c r="AC177" i="1"/>
  <c r="AC172" i="1"/>
  <c r="AC151" i="1"/>
  <c r="AC129" i="1"/>
  <c r="AC186" i="1"/>
  <c r="AC171" i="1"/>
  <c r="AC118" i="1"/>
  <c r="AC205" i="1"/>
  <c r="AD154" i="1"/>
  <c r="AC148" i="1"/>
  <c r="AC116" i="1"/>
  <c r="AC100" i="1"/>
  <c r="AD65" i="1"/>
  <c r="AC39" i="1"/>
  <c r="X57" i="1"/>
  <c r="X37" i="1"/>
  <c r="X160" i="1"/>
  <c r="Y159" i="1"/>
  <c r="Y139" i="1"/>
  <c r="Y119" i="1"/>
  <c r="Y99" i="1"/>
  <c r="Y79" i="1"/>
  <c r="Y59" i="1"/>
  <c r="Y39" i="1"/>
  <c r="AC10" i="1"/>
  <c r="AC30" i="1"/>
  <c r="X148" i="1"/>
  <c r="X128" i="1"/>
  <c r="X108" i="1"/>
  <c r="X88" i="1"/>
  <c r="X68" i="1"/>
  <c r="X48" i="1"/>
  <c r="Y171" i="1"/>
  <c r="Y169" i="1"/>
  <c r="Y167" i="1"/>
  <c r="Y165" i="1"/>
  <c r="Y163" i="1"/>
  <c r="Y161" i="1"/>
  <c r="Y141" i="1"/>
  <c r="Y121" i="1"/>
  <c r="Y101" i="1"/>
  <c r="Y81" i="1"/>
  <c r="Y61" i="1"/>
  <c r="Y41" i="1"/>
  <c r="AD156" i="1"/>
  <c r="X150" i="1"/>
  <c r="AD147" i="1"/>
  <c r="AD136" i="1"/>
  <c r="X130" i="1"/>
  <c r="AD127" i="1"/>
  <c r="AD116" i="1"/>
  <c r="X110" i="1"/>
  <c r="AD107" i="1"/>
  <c r="AD96" i="1"/>
  <c r="X90" i="1"/>
  <c r="AD87" i="1"/>
  <c r="AD76" i="1"/>
  <c r="X70" i="1"/>
  <c r="AD67" i="1"/>
  <c r="AD56" i="1"/>
  <c r="X50" i="1"/>
  <c r="AD47" i="1"/>
  <c r="AD36" i="1"/>
  <c r="AC24" i="1"/>
  <c r="Y103" i="1"/>
  <c r="Y83" i="1"/>
  <c r="Y63" i="1"/>
  <c r="Y43" i="1"/>
  <c r="AC4" i="1"/>
  <c r="AD158" i="1"/>
  <c r="X152" i="1"/>
  <c r="AD149" i="1"/>
  <c r="AD138" i="1"/>
  <c r="X132" i="1"/>
  <c r="AD129" i="1"/>
  <c r="AD118" i="1"/>
  <c r="X112" i="1"/>
  <c r="AD109" i="1"/>
  <c r="AD98" i="1"/>
  <c r="X92" i="1"/>
  <c r="AD89" i="1"/>
  <c r="AD78" i="1"/>
  <c r="X72" i="1"/>
  <c r="AD69" i="1"/>
  <c r="AD58" i="1"/>
  <c r="X52" i="1"/>
  <c r="AD49" i="1"/>
  <c r="AD38" i="1"/>
  <c r="AC5" i="1"/>
  <c r="AC11" i="1"/>
  <c r="AD18" i="1"/>
  <c r="AC25" i="1"/>
  <c r="AC31" i="1"/>
  <c r="Y145" i="1"/>
  <c r="Y125" i="1"/>
  <c r="Y105" i="1"/>
  <c r="Y85" i="1"/>
  <c r="Y65" i="1"/>
  <c r="Y45" i="1"/>
  <c r="AD17" i="1"/>
  <c r="AC12" i="1"/>
  <c r="AC32" i="1"/>
  <c r="AD210" i="1"/>
  <c r="AD208" i="1"/>
  <c r="AD206" i="1"/>
  <c r="AD202" i="1"/>
  <c r="AD200" i="1"/>
  <c r="AD198" i="1"/>
  <c r="AD196" i="1"/>
  <c r="AD194" i="1"/>
  <c r="AD192" i="1"/>
  <c r="AD190" i="1"/>
  <c r="AD188" i="1"/>
  <c r="AD186" i="1"/>
  <c r="AD184" i="1"/>
  <c r="AD182" i="1"/>
  <c r="AD180" i="1"/>
  <c r="AD178" i="1"/>
  <c r="AD176" i="1"/>
  <c r="AD174" i="1"/>
  <c r="AD172" i="1"/>
  <c r="AD170" i="1"/>
  <c r="AD168" i="1"/>
  <c r="AD166" i="1"/>
  <c r="AD162" i="1"/>
  <c r="AD160" i="1"/>
  <c r="AD151" i="1"/>
  <c r="AD140" i="1"/>
  <c r="AD131" i="1"/>
  <c r="AD120" i="1"/>
  <c r="AD111" i="1"/>
  <c r="AD100" i="1"/>
  <c r="AD91" i="1"/>
  <c r="AD80" i="1"/>
  <c r="AD71" i="1"/>
  <c r="AD60" i="1"/>
  <c r="AD51" i="1"/>
  <c r="AD40" i="1"/>
  <c r="AD212" i="1"/>
  <c r="AD204" i="1"/>
  <c r="AD164" i="1"/>
  <c r="AD19" i="1"/>
  <c r="AC20" i="1"/>
  <c r="X158" i="1"/>
  <c r="X138" i="1"/>
  <c r="X118" i="1"/>
  <c r="X98" i="1"/>
  <c r="X78" i="1"/>
  <c r="X58" i="1"/>
  <c r="X38" i="1"/>
  <c r="X140" i="1"/>
  <c r="X120" i="1"/>
  <c r="X100" i="1"/>
  <c r="X80" i="1"/>
  <c r="X60" i="1"/>
  <c r="X40" i="1"/>
  <c r="AD159" i="1"/>
  <c r="AD148" i="1"/>
  <c r="X142" i="1"/>
  <c r="AD139" i="1"/>
  <c r="AD128" i="1"/>
  <c r="X122" i="1"/>
  <c r="AD119" i="1"/>
  <c r="AD108" i="1"/>
  <c r="X102" i="1"/>
  <c r="AD99" i="1"/>
  <c r="AD88" i="1"/>
  <c r="X82" i="1"/>
  <c r="AD79" i="1"/>
  <c r="AD68" i="1"/>
  <c r="X62" i="1"/>
  <c r="AD59" i="1"/>
  <c r="AD48" i="1"/>
  <c r="X42" i="1"/>
  <c r="AD39" i="1"/>
  <c r="AC15" i="1"/>
  <c r="AC19" i="1"/>
  <c r="Y135" i="1"/>
  <c r="Y115" i="1"/>
  <c r="Y95" i="1"/>
  <c r="Y75" i="1"/>
  <c r="Y55" i="1"/>
  <c r="Y35" i="1"/>
  <c r="AC22" i="1"/>
  <c r="AD213" i="1"/>
  <c r="AD211" i="1"/>
  <c r="AD207" i="1"/>
  <c r="AD203" i="1"/>
  <c r="AD201" i="1"/>
  <c r="AD199" i="1"/>
  <c r="AD197" i="1"/>
  <c r="AD195" i="1"/>
  <c r="AD193" i="1"/>
  <c r="AD191" i="1"/>
  <c r="AD189" i="1"/>
  <c r="AD187" i="1"/>
  <c r="AD183" i="1"/>
  <c r="AD181" i="1"/>
  <c r="AD179" i="1"/>
  <c r="AD177" i="1"/>
  <c r="AD175" i="1"/>
  <c r="AD171" i="1"/>
  <c r="AD169" i="1"/>
  <c r="AD167" i="1"/>
  <c r="AD165" i="1"/>
  <c r="X124" i="1"/>
  <c r="X104" i="1"/>
  <c r="X84" i="1"/>
  <c r="X64" i="1"/>
  <c r="X44" i="1"/>
  <c r="AC9" i="1"/>
  <c r="AD29" i="1"/>
  <c r="AC18" i="1"/>
  <c r="AC6" i="1"/>
  <c r="AC26" i="1"/>
  <c r="AD12" i="1"/>
  <c r="AC13" i="1"/>
  <c r="Y160" i="1"/>
  <c r="Y158" i="1"/>
  <c r="Y156" i="1"/>
  <c r="Y154" i="1"/>
  <c r="Y152" i="1"/>
  <c r="Y150" i="1"/>
  <c r="Y148" i="1"/>
  <c r="Y146" i="1"/>
  <c r="Y144" i="1"/>
  <c r="Y142" i="1"/>
  <c r="Y140" i="1"/>
  <c r="Y138" i="1"/>
  <c r="Y136" i="1"/>
  <c r="Y134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AC14" i="1"/>
  <c r="AD10" i="1"/>
  <c r="AD11" i="1"/>
  <c r="AC21" i="1"/>
  <c r="AC7" i="1"/>
  <c r="AD27" i="1"/>
  <c r="AD32" i="1"/>
  <c r="AD8" i="1"/>
  <c r="AD28" i="1"/>
  <c r="AD6" i="1"/>
  <c r="AD30" i="1"/>
  <c r="AC16" i="1"/>
  <c r="AC3" i="1"/>
  <c r="AC23" i="1"/>
  <c r="AD26" i="1"/>
  <c r="AD20" i="1"/>
  <c r="AD9" i="1"/>
  <c r="AD7" i="1"/>
  <c r="AD21" i="1"/>
  <c r="AC8" i="1"/>
  <c r="AC17" i="1"/>
  <c r="AD16" i="1"/>
  <c r="AC29" i="1"/>
  <c r="AC27" i="1"/>
  <c r="AD25" i="1"/>
  <c r="AD15" i="1"/>
  <c r="AD5" i="1"/>
  <c r="AC28" i="1"/>
  <c r="AD24" i="1"/>
  <c r="AD14" i="1"/>
  <c r="AD4" i="1"/>
  <c r="AD23" i="1"/>
  <c r="AD13" i="1"/>
  <c r="AD3" i="1"/>
  <c r="AD2" i="1"/>
  <c r="AC2" i="1"/>
  <c r="T9" i="1"/>
  <c r="Y11" i="1" s="1"/>
  <c r="AL203" i="1"/>
  <c r="AM203" i="1" s="1"/>
  <c r="AL204" i="1"/>
  <c r="AM204" i="1" s="1"/>
  <c r="AL205" i="1"/>
  <c r="AM205" i="1" s="1"/>
  <c r="AL206" i="1"/>
  <c r="AM206" i="1" s="1"/>
  <c r="AL207" i="1"/>
  <c r="AM207" i="1" s="1"/>
  <c r="AL208" i="1"/>
  <c r="AM208" i="1" s="1"/>
  <c r="AL209" i="1"/>
  <c r="AM209" i="1" s="1"/>
  <c r="AL210" i="1"/>
  <c r="AM210" i="1" s="1"/>
  <c r="AL211" i="1"/>
  <c r="AM211" i="1" s="1"/>
  <c r="AL212" i="1"/>
  <c r="AM212" i="1" s="1"/>
  <c r="AL213" i="1"/>
  <c r="AM213" i="1" s="1"/>
  <c r="AL214" i="1"/>
  <c r="AM214" i="1" s="1"/>
  <c r="AL215" i="1"/>
  <c r="AM215" i="1" s="1"/>
  <c r="AL216" i="1"/>
  <c r="AM216" i="1" s="1"/>
  <c r="AL217" i="1"/>
  <c r="AM217" i="1" s="1"/>
  <c r="AL218" i="1"/>
  <c r="AM218" i="1" s="1"/>
  <c r="AL219" i="1"/>
  <c r="AM219" i="1" s="1"/>
  <c r="AL220" i="1"/>
  <c r="AM220" i="1" s="1"/>
  <c r="AL221" i="1"/>
  <c r="AM221" i="1" s="1"/>
  <c r="AL222" i="1"/>
  <c r="AM222" i="1" s="1"/>
  <c r="AL223" i="1"/>
  <c r="AM223" i="1" s="1"/>
  <c r="AL224" i="1"/>
  <c r="AM224" i="1" s="1"/>
  <c r="AL225" i="1"/>
  <c r="AM225" i="1" s="1"/>
  <c r="AL226" i="1"/>
  <c r="AM226" i="1" s="1"/>
  <c r="AL227" i="1"/>
  <c r="AM227" i="1" s="1"/>
  <c r="AL228" i="1"/>
  <c r="AM228" i="1" s="1"/>
  <c r="AL229" i="1"/>
  <c r="AM229" i="1" s="1"/>
  <c r="AL230" i="1"/>
  <c r="AM230" i="1" s="1"/>
  <c r="AL231" i="1"/>
  <c r="AM231" i="1" s="1"/>
  <c r="AL232" i="1"/>
  <c r="AM232" i="1" s="1"/>
  <c r="AL233" i="1"/>
  <c r="AM233" i="1" s="1"/>
  <c r="AL234" i="1"/>
  <c r="AM234" i="1" s="1"/>
  <c r="AL235" i="1"/>
  <c r="AM235" i="1" s="1"/>
  <c r="AL236" i="1"/>
  <c r="AM236" i="1" s="1"/>
  <c r="AL237" i="1"/>
  <c r="AM237" i="1" s="1"/>
  <c r="AL238" i="1"/>
  <c r="AM238" i="1" s="1"/>
  <c r="AL239" i="1"/>
  <c r="AM239" i="1" s="1"/>
  <c r="AL240" i="1"/>
  <c r="AM240" i="1" s="1"/>
  <c r="AL241" i="1"/>
  <c r="AM241" i="1" s="1"/>
  <c r="AL242" i="1"/>
  <c r="AM242" i="1" s="1"/>
  <c r="AL243" i="1"/>
  <c r="AM243" i="1" s="1"/>
  <c r="AL244" i="1"/>
  <c r="AM244" i="1" s="1"/>
  <c r="AL245" i="1"/>
  <c r="AM245" i="1" s="1"/>
  <c r="AL246" i="1"/>
  <c r="AM246" i="1" s="1"/>
  <c r="AL247" i="1"/>
  <c r="AM247" i="1" s="1"/>
  <c r="AL248" i="1"/>
  <c r="AM248" i="1" s="1"/>
  <c r="AL249" i="1"/>
  <c r="AM249" i="1" s="1"/>
  <c r="AL250" i="1"/>
  <c r="AM250" i="1" s="1"/>
  <c r="AL251" i="1"/>
  <c r="AM251" i="1" s="1"/>
  <c r="AL252" i="1"/>
  <c r="AM252" i="1" s="1"/>
  <c r="AL253" i="1"/>
  <c r="AM253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260" i="1"/>
  <c r="AM260" i="1" s="1"/>
  <c r="AL261" i="1"/>
  <c r="AM261" i="1" s="1"/>
  <c r="AL262" i="1"/>
  <c r="AM262" i="1" s="1"/>
  <c r="AL263" i="1"/>
  <c r="AM263" i="1" s="1"/>
  <c r="AL264" i="1"/>
  <c r="AM264" i="1" s="1"/>
  <c r="AL265" i="1"/>
  <c r="AM265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272" i="1"/>
  <c r="AM272" i="1" s="1"/>
  <c r="AL273" i="1"/>
  <c r="AM273" i="1" s="1"/>
  <c r="AL274" i="1"/>
  <c r="AM274" i="1" s="1"/>
  <c r="AL275" i="1"/>
  <c r="AM275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286" i="1"/>
  <c r="AM286" i="1" s="1"/>
  <c r="AL287" i="1"/>
  <c r="AM287" i="1" s="1"/>
  <c r="AL288" i="1"/>
  <c r="AM288" i="1" s="1"/>
  <c r="AL289" i="1"/>
  <c r="AM289" i="1" s="1"/>
  <c r="AL290" i="1"/>
  <c r="AM290" i="1" s="1"/>
  <c r="AL291" i="1"/>
  <c r="AM291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L52" i="1"/>
  <c r="AM52" i="1" s="1"/>
  <c r="AL53" i="1"/>
  <c r="AM53" i="1" s="1"/>
  <c r="AL54" i="1"/>
  <c r="AM54" i="1" s="1"/>
  <c r="AL55" i="1"/>
  <c r="AM55" i="1" s="1"/>
  <c r="AL56" i="1"/>
  <c r="AM56" i="1" s="1"/>
  <c r="AL57" i="1"/>
  <c r="AM57" i="1" s="1"/>
  <c r="AL58" i="1"/>
  <c r="AM58" i="1" s="1"/>
  <c r="AL59" i="1"/>
  <c r="AM59" i="1" s="1"/>
  <c r="AL60" i="1"/>
  <c r="AM60" i="1" s="1"/>
  <c r="AL61" i="1"/>
  <c r="AM61" i="1" s="1"/>
  <c r="AL62" i="1"/>
  <c r="AM62" i="1" s="1"/>
  <c r="AL63" i="1"/>
  <c r="AM63" i="1" s="1"/>
  <c r="AL64" i="1"/>
  <c r="AM64" i="1" s="1"/>
  <c r="AL65" i="1"/>
  <c r="AM65" i="1" s="1"/>
  <c r="AL66" i="1"/>
  <c r="AM66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73" i="1"/>
  <c r="AM73" i="1" s="1"/>
  <c r="AL74" i="1"/>
  <c r="AM74" i="1" s="1"/>
  <c r="AL75" i="1"/>
  <c r="AM75" i="1" s="1"/>
  <c r="AL76" i="1"/>
  <c r="AM76" i="1" s="1"/>
  <c r="AL77" i="1"/>
  <c r="AM77" i="1" s="1"/>
  <c r="AL78" i="1"/>
  <c r="AM78" i="1" s="1"/>
  <c r="AL79" i="1"/>
  <c r="AM79" i="1" s="1"/>
  <c r="AL80" i="1"/>
  <c r="AM80" i="1" s="1"/>
  <c r="AL81" i="1"/>
  <c r="AM81" i="1" s="1"/>
  <c r="AL82" i="1"/>
  <c r="AM82" i="1" s="1"/>
  <c r="AL83" i="1"/>
  <c r="AM83" i="1" s="1"/>
  <c r="AL84" i="1"/>
  <c r="AM84" i="1" s="1"/>
  <c r="AL85" i="1"/>
  <c r="AM85" i="1" s="1"/>
  <c r="AL86" i="1"/>
  <c r="AM86" i="1" s="1"/>
  <c r="AL87" i="1"/>
  <c r="AM87" i="1" s="1"/>
  <c r="AL88" i="1"/>
  <c r="AM88" i="1" s="1"/>
  <c r="AL89" i="1"/>
  <c r="AM89" i="1" s="1"/>
  <c r="AL90" i="1"/>
  <c r="AM90" i="1" s="1"/>
  <c r="AL91" i="1"/>
  <c r="AM91" i="1" s="1"/>
  <c r="AL92" i="1"/>
  <c r="AM92" i="1" s="1"/>
  <c r="AL93" i="1"/>
  <c r="AM93" i="1" s="1"/>
  <c r="AL94" i="1"/>
  <c r="AM94" i="1" s="1"/>
  <c r="AL95" i="1"/>
  <c r="AM95" i="1" s="1"/>
  <c r="AL96" i="1"/>
  <c r="AM96" i="1" s="1"/>
  <c r="AL97" i="1"/>
  <c r="AM97" i="1" s="1"/>
  <c r="AL98" i="1"/>
  <c r="AM98" i="1" s="1"/>
  <c r="AL99" i="1"/>
  <c r="AM99" i="1" s="1"/>
  <c r="AL100" i="1"/>
  <c r="AM100" i="1" s="1"/>
  <c r="AL101" i="1"/>
  <c r="AM101" i="1" s="1"/>
  <c r="AL102" i="1"/>
  <c r="AM102" i="1" s="1"/>
  <c r="AL103" i="1"/>
  <c r="AM103" i="1" s="1"/>
  <c r="AL104" i="1"/>
  <c r="AM104" i="1" s="1"/>
  <c r="AL105" i="1"/>
  <c r="AM105" i="1" s="1"/>
  <c r="AL106" i="1"/>
  <c r="AM106" i="1" s="1"/>
  <c r="AL107" i="1"/>
  <c r="AM107" i="1" s="1"/>
  <c r="AL108" i="1"/>
  <c r="AM108" i="1" s="1"/>
  <c r="AL109" i="1"/>
  <c r="AM109" i="1" s="1"/>
  <c r="AL110" i="1"/>
  <c r="AM110" i="1" s="1"/>
  <c r="AL111" i="1"/>
  <c r="AM111" i="1" s="1"/>
  <c r="AL112" i="1"/>
  <c r="AM112" i="1" s="1"/>
  <c r="AL113" i="1"/>
  <c r="AM113" i="1" s="1"/>
  <c r="AL114" i="1"/>
  <c r="AM114" i="1" s="1"/>
  <c r="AL115" i="1"/>
  <c r="AM115" i="1" s="1"/>
  <c r="AL116" i="1"/>
  <c r="AM116" i="1" s="1"/>
  <c r="AL117" i="1"/>
  <c r="AM117" i="1" s="1"/>
  <c r="AL118" i="1"/>
  <c r="AM118" i="1" s="1"/>
  <c r="AL119" i="1"/>
  <c r="AM119" i="1" s="1"/>
  <c r="AL120" i="1"/>
  <c r="AM120" i="1" s="1"/>
  <c r="AL121" i="1"/>
  <c r="AM121" i="1" s="1"/>
  <c r="AL122" i="1"/>
  <c r="AM122" i="1" s="1"/>
  <c r="AL123" i="1"/>
  <c r="AM123" i="1" s="1"/>
  <c r="AL124" i="1"/>
  <c r="AM124" i="1" s="1"/>
  <c r="AL125" i="1"/>
  <c r="AM125" i="1" s="1"/>
  <c r="AL126" i="1"/>
  <c r="AM126" i="1" s="1"/>
  <c r="AL127" i="1"/>
  <c r="AM127" i="1" s="1"/>
  <c r="AL128" i="1"/>
  <c r="AM128" i="1" s="1"/>
  <c r="AL129" i="1"/>
  <c r="AM129" i="1" s="1"/>
  <c r="AL130" i="1"/>
  <c r="AM130" i="1" s="1"/>
  <c r="AL131" i="1"/>
  <c r="AM131" i="1" s="1"/>
  <c r="AL132" i="1"/>
  <c r="AM132" i="1" s="1"/>
  <c r="AL133" i="1"/>
  <c r="AM133" i="1" s="1"/>
  <c r="AL134" i="1"/>
  <c r="AM134" i="1" s="1"/>
  <c r="AL135" i="1"/>
  <c r="AM135" i="1" s="1"/>
  <c r="AL136" i="1"/>
  <c r="AM136" i="1" s="1"/>
  <c r="AL137" i="1"/>
  <c r="AM137" i="1" s="1"/>
  <c r="AL138" i="1"/>
  <c r="AM138" i="1" s="1"/>
  <c r="AL139" i="1"/>
  <c r="AM139" i="1" s="1"/>
  <c r="AL140" i="1"/>
  <c r="AM140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47" i="1"/>
  <c r="AM147" i="1" s="1"/>
  <c r="AL148" i="1"/>
  <c r="AM148" i="1" s="1"/>
  <c r="AL149" i="1"/>
  <c r="AM149" i="1" s="1"/>
  <c r="AL150" i="1"/>
  <c r="AM150" i="1" s="1"/>
  <c r="AL151" i="1"/>
  <c r="AM151" i="1" s="1"/>
  <c r="AL152" i="1"/>
  <c r="AM152" i="1" s="1"/>
  <c r="AL153" i="1"/>
  <c r="AM153" i="1" s="1"/>
  <c r="AL154" i="1"/>
  <c r="AM154" i="1" s="1"/>
  <c r="AL155" i="1"/>
  <c r="AM155" i="1" s="1"/>
  <c r="AL156" i="1"/>
  <c r="AM156" i="1" s="1"/>
  <c r="AL157" i="1"/>
  <c r="AM157" i="1" s="1"/>
  <c r="AL158" i="1"/>
  <c r="AM158" i="1" s="1"/>
  <c r="AL159" i="1"/>
  <c r="AM159" i="1" s="1"/>
  <c r="AL160" i="1"/>
  <c r="AM160" i="1" s="1"/>
  <c r="AL161" i="1"/>
  <c r="AM161" i="1" s="1"/>
  <c r="AL162" i="1"/>
  <c r="AM162" i="1" s="1"/>
  <c r="AL163" i="1"/>
  <c r="AM163" i="1" s="1"/>
  <c r="AL164" i="1"/>
  <c r="AM164" i="1" s="1"/>
  <c r="AL165" i="1"/>
  <c r="AM165" i="1" s="1"/>
  <c r="AL166" i="1"/>
  <c r="AM166" i="1" s="1"/>
  <c r="AL167" i="1"/>
  <c r="AM167" i="1" s="1"/>
  <c r="AL168" i="1"/>
  <c r="AM168" i="1" s="1"/>
  <c r="AL169" i="1"/>
  <c r="AM169" i="1" s="1"/>
  <c r="AL170" i="1"/>
  <c r="AM170" i="1" s="1"/>
  <c r="AL171" i="1"/>
  <c r="AM171" i="1" s="1"/>
  <c r="AL172" i="1"/>
  <c r="AM172" i="1" s="1"/>
  <c r="AL173" i="1"/>
  <c r="AM173" i="1" s="1"/>
  <c r="AL174" i="1"/>
  <c r="AM174" i="1" s="1"/>
  <c r="AL175" i="1"/>
  <c r="AM175" i="1" s="1"/>
  <c r="AL176" i="1"/>
  <c r="AM176" i="1" s="1"/>
  <c r="AL177" i="1"/>
  <c r="AM177" i="1" s="1"/>
  <c r="AL178" i="1"/>
  <c r="AM178" i="1" s="1"/>
  <c r="AL179" i="1"/>
  <c r="AM179" i="1" s="1"/>
  <c r="AL180" i="1"/>
  <c r="AM180" i="1" s="1"/>
  <c r="AL181" i="1"/>
  <c r="AM181" i="1" s="1"/>
  <c r="AL182" i="1"/>
  <c r="AM182" i="1" s="1"/>
  <c r="AL183" i="1"/>
  <c r="AM183" i="1" s="1"/>
  <c r="AL184" i="1"/>
  <c r="AM184" i="1" s="1"/>
  <c r="AL185" i="1"/>
  <c r="AM185" i="1" s="1"/>
  <c r="AL186" i="1"/>
  <c r="AM186" i="1" s="1"/>
  <c r="AL187" i="1"/>
  <c r="AM187" i="1" s="1"/>
  <c r="AL188" i="1"/>
  <c r="AM188" i="1" s="1"/>
  <c r="AL189" i="1"/>
  <c r="AM189" i="1" s="1"/>
  <c r="AL190" i="1"/>
  <c r="AM190" i="1" s="1"/>
  <c r="AL191" i="1"/>
  <c r="AM191" i="1" s="1"/>
  <c r="AL192" i="1"/>
  <c r="AM192" i="1" s="1"/>
  <c r="AL193" i="1"/>
  <c r="AM193" i="1" s="1"/>
  <c r="AL194" i="1"/>
  <c r="AM194" i="1" s="1"/>
  <c r="AL195" i="1"/>
  <c r="AM195" i="1" s="1"/>
  <c r="AL196" i="1"/>
  <c r="AM196" i="1" s="1"/>
  <c r="AL197" i="1"/>
  <c r="AM197" i="1" s="1"/>
  <c r="AL198" i="1"/>
  <c r="AM198" i="1" s="1"/>
  <c r="AL199" i="1"/>
  <c r="AM199" i="1" s="1"/>
  <c r="AL200" i="1"/>
  <c r="AM200" i="1" s="1"/>
  <c r="AL201" i="1"/>
  <c r="AM201" i="1" s="1"/>
  <c r="X10" i="1" l="1"/>
  <c r="X4" i="1"/>
  <c r="X31" i="1"/>
  <c r="X12" i="1"/>
  <c r="X32" i="1"/>
  <c r="X27" i="1"/>
  <c r="Y24" i="1"/>
  <c r="Y13" i="1"/>
  <c r="Y3" i="1"/>
  <c r="Y4" i="1"/>
  <c r="X5" i="1"/>
  <c r="X19" i="1"/>
  <c r="Y26" i="1"/>
  <c r="X26" i="1"/>
  <c r="Y18" i="1"/>
  <c r="Y2" i="1"/>
  <c r="X7" i="1"/>
  <c r="X8" i="1"/>
  <c r="X21" i="1"/>
  <c r="Y32" i="1"/>
  <c r="X28" i="1"/>
  <c r="Y7" i="1"/>
  <c r="X15" i="1"/>
  <c r="Y27" i="1"/>
  <c r="X24" i="1"/>
  <c r="X20" i="1"/>
  <c r="Y21" i="1"/>
  <c r="X18" i="1"/>
  <c r="X14" i="1"/>
  <c r="Y22" i="1"/>
  <c r="X6" i="1"/>
  <c r="X16" i="1"/>
  <c r="Y8" i="1"/>
  <c r="X29" i="1"/>
  <c r="Y10" i="1"/>
  <c r="X25" i="1"/>
  <c r="X30" i="1"/>
  <c r="Y31" i="1"/>
  <c r="Y14" i="1"/>
  <c r="X11" i="1"/>
  <c r="Y6" i="1"/>
  <c r="X13" i="1"/>
  <c r="X9" i="1"/>
  <c r="Y9" i="1"/>
  <c r="X3" i="1"/>
  <c r="Y29" i="1"/>
  <c r="Y28" i="1"/>
  <c r="X23" i="1"/>
  <c r="Y17" i="1"/>
  <c r="Y15" i="1"/>
  <c r="X17" i="1"/>
  <c r="Y16" i="1"/>
  <c r="X22" i="1"/>
  <c r="Y20" i="1"/>
  <c r="Y19" i="1"/>
  <c r="Y5" i="1"/>
  <c r="Y23" i="1"/>
  <c r="Y12" i="1"/>
  <c r="X2" i="1"/>
  <c r="Y25" i="1"/>
  <c r="Y30" i="1"/>
  <c r="AL202" i="1"/>
  <c r="AM20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 s="1"/>
  <c r="AE123" i="1"/>
  <c r="AF123" i="1" s="1"/>
  <c r="AE124" i="1"/>
  <c r="AF124" i="1" s="1"/>
  <c r="AE125" i="1"/>
  <c r="AF125" i="1" s="1"/>
  <c r="AE126" i="1"/>
  <c r="AF126" i="1" s="1"/>
  <c r="AE127" i="1"/>
  <c r="AF127" i="1" s="1"/>
  <c r="AE128" i="1"/>
  <c r="AF128" i="1" s="1"/>
  <c r="AE129" i="1"/>
  <c r="AF129" i="1" s="1"/>
  <c r="AE130" i="1"/>
  <c r="AF130" i="1" s="1"/>
  <c r="AE131" i="1"/>
  <c r="AF131" i="1" s="1"/>
  <c r="AE132" i="1"/>
  <c r="AF132" i="1" s="1"/>
  <c r="AE133" i="1"/>
  <c r="AF133" i="1" s="1"/>
  <c r="AE134" i="1"/>
  <c r="AF134" i="1" s="1"/>
  <c r="AE135" i="1"/>
  <c r="AF135" i="1" s="1"/>
  <c r="AE136" i="1"/>
  <c r="AF136" i="1" s="1"/>
  <c r="AE137" i="1"/>
  <c r="AF137" i="1" s="1"/>
  <c r="AE138" i="1"/>
  <c r="AF138" i="1" s="1"/>
  <c r="AE139" i="1"/>
  <c r="AF139" i="1" s="1"/>
  <c r="AE140" i="1"/>
  <c r="AF140" i="1" s="1"/>
  <c r="AE141" i="1"/>
  <c r="AF141" i="1" s="1"/>
  <c r="AE142" i="1"/>
  <c r="AF142" i="1" s="1"/>
  <c r="AE143" i="1"/>
  <c r="AF143" i="1" s="1"/>
  <c r="AE144" i="1"/>
  <c r="AF144" i="1" s="1"/>
  <c r="AE145" i="1"/>
  <c r="AF145" i="1" s="1"/>
  <c r="AE146" i="1"/>
  <c r="AF146" i="1" s="1"/>
  <c r="AE147" i="1"/>
  <c r="AF147" i="1" s="1"/>
  <c r="AE148" i="1"/>
  <c r="AF148" i="1" s="1"/>
  <c r="AE149" i="1"/>
  <c r="AF149" i="1" s="1"/>
  <c r="AE150" i="1"/>
  <c r="AF150" i="1" s="1"/>
  <c r="AE151" i="1"/>
  <c r="AF151" i="1" s="1"/>
  <c r="AE152" i="1"/>
  <c r="AF152" i="1" s="1"/>
  <c r="AE153" i="1"/>
  <c r="AF153" i="1" s="1"/>
  <c r="AE154" i="1"/>
  <c r="AF154" i="1" s="1"/>
  <c r="AE155" i="1"/>
  <c r="AF155" i="1" s="1"/>
  <c r="AE156" i="1"/>
  <c r="AF156" i="1" s="1"/>
  <c r="AE157" i="1"/>
  <c r="AF157" i="1" s="1"/>
  <c r="AE158" i="1"/>
  <c r="AF158" i="1" s="1"/>
  <c r="AE159" i="1"/>
  <c r="AF159" i="1" s="1"/>
  <c r="AE160" i="1"/>
  <c r="AF160" i="1" s="1"/>
  <c r="AE161" i="1"/>
  <c r="AF161" i="1" s="1"/>
  <c r="AE162" i="1"/>
  <c r="AF162" i="1" s="1"/>
  <c r="AE163" i="1"/>
  <c r="AF163" i="1" s="1"/>
  <c r="AE164" i="1"/>
  <c r="AF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F174" i="1" s="1"/>
  <c r="AE175" i="1"/>
  <c r="AF175" i="1" s="1"/>
  <c r="AE176" i="1"/>
  <c r="AF176" i="1" s="1"/>
  <c r="AE177" i="1"/>
  <c r="AF177" i="1" s="1"/>
  <c r="AE178" i="1"/>
  <c r="AF178" i="1" s="1"/>
  <c r="AE179" i="1"/>
  <c r="AF179" i="1" s="1"/>
  <c r="AE180" i="1"/>
  <c r="AF180" i="1" s="1"/>
  <c r="AE181" i="1"/>
  <c r="AF181" i="1" s="1"/>
  <c r="AE182" i="1"/>
  <c r="AF182" i="1" s="1"/>
  <c r="AE183" i="1"/>
  <c r="AF183" i="1" s="1"/>
  <c r="AE184" i="1"/>
  <c r="AF184" i="1" s="1"/>
  <c r="AE185" i="1"/>
  <c r="AF185" i="1" s="1"/>
  <c r="AE186" i="1"/>
  <c r="AF186" i="1" s="1"/>
  <c r="AE187" i="1"/>
  <c r="AF187" i="1" s="1"/>
  <c r="AE188" i="1"/>
  <c r="AF188" i="1" s="1"/>
  <c r="AE189" i="1"/>
  <c r="AF189" i="1" s="1"/>
  <c r="AE190" i="1"/>
  <c r="AF190" i="1" s="1"/>
  <c r="AE191" i="1"/>
  <c r="AF191" i="1" s="1"/>
  <c r="AE192" i="1"/>
  <c r="AF192" i="1" s="1"/>
  <c r="AE193" i="1"/>
  <c r="AF193" i="1" s="1"/>
  <c r="AE194" i="1"/>
  <c r="AF194" i="1" s="1"/>
  <c r="AE195" i="1"/>
  <c r="AF195" i="1" s="1"/>
  <c r="AE196" i="1"/>
  <c r="AF196" i="1" s="1"/>
  <c r="AE197" i="1"/>
  <c r="AF197" i="1" s="1"/>
  <c r="AE198" i="1"/>
  <c r="AF198" i="1" s="1"/>
  <c r="AE199" i="1"/>
  <c r="AF199" i="1" s="1"/>
  <c r="AE200" i="1"/>
  <c r="AF200" i="1" s="1"/>
  <c r="AE201" i="1"/>
  <c r="AF201" i="1" s="1"/>
  <c r="AE202" i="1"/>
  <c r="AF202" i="1" s="1"/>
  <c r="AE203" i="1"/>
  <c r="AF203" i="1" s="1"/>
  <c r="AE204" i="1"/>
  <c r="AF204" i="1" s="1"/>
  <c r="AE205" i="1"/>
  <c r="AF205" i="1" s="1"/>
  <c r="AE206" i="1"/>
  <c r="AF206" i="1" s="1"/>
  <c r="AE207" i="1"/>
  <c r="AF207" i="1" s="1"/>
  <c r="AE208" i="1"/>
  <c r="AF208" i="1" s="1"/>
  <c r="AE209" i="1"/>
  <c r="AF209" i="1" s="1"/>
  <c r="AE210" i="1"/>
  <c r="AF210" i="1" s="1"/>
  <c r="AE211" i="1"/>
  <c r="AF211" i="1" s="1"/>
  <c r="AE212" i="1"/>
  <c r="AF212" i="1" s="1"/>
  <c r="AE213" i="1"/>
  <c r="AF213" i="1" s="1"/>
  <c r="AE214" i="1"/>
  <c r="AF214" i="1" s="1"/>
  <c r="AE215" i="1"/>
  <c r="AF215" i="1" s="1"/>
  <c r="AE216" i="1"/>
  <c r="AF216" i="1" s="1"/>
  <c r="AE217" i="1"/>
  <c r="AF217" i="1" s="1"/>
  <c r="AE218" i="1"/>
  <c r="AF218" i="1" s="1"/>
  <c r="AE219" i="1"/>
  <c r="AF219" i="1" s="1"/>
  <c r="AE220" i="1"/>
  <c r="AF220" i="1" s="1"/>
  <c r="AE221" i="1"/>
  <c r="AF221" i="1" s="1"/>
  <c r="AE222" i="1"/>
  <c r="AF222" i="1" s="1"/>
  <c r="AE223" i="1"/>
  <c r="AF223" i="1" s="1"/>
  <c r="AE224" i="1"/>
  <c r="AF224" i="1" s="1"/>
  <c r="AE225" i="1"/>
  <c r="AF225" i="1" s="1"/>
  <c r="AE226" i="1"/>
  <c r="AF226" i="1" s="1"/>
  <c r="AE227" i="1"/>
  <c r="AF227" i="1" s="1"/>
  <c r="AE228" i="1"/>
  <c r="AF228" i="1" s="1"/>
  <c r="AE229" i="1"/>
  <c r="AF229" i="1" s="1"/>
  <c r="AE230" i="1"/>
  <c r="AF230" i="1" s="1"/>
  <c r="AE231" i="1"/>
  <c r="AF231" i="1" s="1"/>
  <c r="AE232" i="1"/>
  <c r="AF232" i="1" s="1"/>
  <c r="AE233" i="1"/>
  <c r="AF233" i="1" s="1"/>
  <c r="AE234" i="1"/>
  <c r="AF234" i="1" s="1"/>
  <c r="AE235" i="1"/>
  <c r="AF235" i="1" s="1"/>
  <c r="AE236" i="1"/>
  <c r="AF236" i="1" s="1"/>
  <c r="AE237" i="1"/>
  <c r="AF237" i="1" s="1"/>
  <c r="AE238" i="1"/>
  <c r="AF238" i="1" s="1"/>
  <c r="AE239" i="1"/>
  <c r="AF239" i="1" s="1"/>
  <c r="AE240" i="1"/>
  <c r="AF240" i="1" s="1"/>
  <c r="AE241" i="1"/>
  <c r="AF241" i="1" s="1"/>
  <c r="AE242" i="1"/>
  <c r="AF242" i="1" s="1"/>
  <c r="AE243" i="1"/>
  <c r="AF243" i="1" s="1"/>
  <c r="AE244" i="1"/>
  <c r="AF244" i="1" s="1"/>
  <c r="AE245" i="1"/>
  <c r="AF245" i="1" s="1"/>
  <c r="AE246" i="1"/>
  <c r="AF246" i="1" s="1"/>
  <c r="AE247" i="1"/>
  <c r="AF247" i="1" s="1"/>
  <c r="AE248" i="1"/>
  <c r="AF248" i="1" s="1"/>
  <c r="AE249" i="1"/>
  <c r="AF249" i="1" s="1"/>
  <c r="AE250" i="1"/>
  <c r="AF250" i="1" s="1"/>
  <c r="AE251" i="1"/>
  <c r="AF251" i="1" s="1"/>
  <c r="AE252" i="1"/>
  <c r="AF252" i="1" s="1"/>
  <c r="AE253" i="1"/>
  <c r="AF253" i="1" s="1"/>
  <c r="AE254" i="1"/>
  <c r="AF254" i="1" s="1"/>
  <c r="AE255" i="1"/>
  <c r="AF255" i="1" s="1"/>
  <c r="AE256" i="1"/>
  <c r="AF256" i="1" s="1"/>
  <c r="AE257" i="1"/>
  <c r="AF257" i="1" s="1"/>
  <c r="AE258" i="1"/>
  <c r="AF258" i="1" s="1"/>
  <c r="AE259" i="1"/>
  <c r="AF259" i="1" s="1"/>
  <c r="AE260" i="1"/>
  <c r="AF260" i="1" s="1"/>
  <c r="AE261" i="1"/>
  <c r="AF261" i="1" s="1"/>
  <c r="AE262" i="1"/>
  <c r="AF262" i="1" s="1"/>
  <c r="AE263" i="1"/>
  <c r="AF263" i="1" s="1"/>
  <c r="AE264" i="1"/>
  <c r="AF264" i="1" s="1"/>
  <c r="AE265" i="1"/>
  <c r="AF265" i="1" s="1"/>
  <c r="AE266" i="1"/>
  <c r="AF266" i="1" s="1"/>
  <c r="AE267" i="1"/>
  <c r="AF267" i="1" s="1"/>
  <c r="AE268" i="1"/>
  <c r="AF268" i="1" s="1"/>
  <c r="AE269" i="1"/>
  <c r="AF269" i="1" s="1"/>
  <c r="AE270" i="1"/>
  <c r="AF270" i="1" s="1"/>
  <c r="AE271" i="1"/>
  <c r="AF271" i="1" s="1"/>
  <c r="AE272" i="1"/>
  <c r="AF272" i="1" s="1"/>
  <c r="AE273" i="1"/>
  <c r="AF273" i="1" s="1"/>
  <c r="AE274" i="1"/>
  <c r="AF274" i="1" s="1"/>
  <c r="AE275" i="1"/>
  <c r="AF275" i="1" s="1"/>
  <c r="AE276" i="1"/>
  <c r="AF276" i="1" s="1"/>
  <c r="AE277" i="1"/>
  <c r="AF277" i="1" s="1"/>
  <c r="AE278" i="1"/>
  <c r="AF278" i="1" s="1"/>
  <c r="AE279" i="1"/>
  <c r="AF279" i="1" s="1"/>
  <c r="AE280" i="1"/>
  <c r="AF280" i="1" s="1"/>
  <c r="AE281" i="1"/>
  <c r="AF281" i="1" s="1"/>
  <c r="AE282" i="1"/>
  <c r="AF282" i="1" s="1"/>
  <c r="AE283" i="1"/>
  <c r="AF283" i="1" s="1"/>
  <c r="AE284" i="1"/>
  <c r="AF284" i="1" s="1"/>
  <c r="AE285" i="1"/>
  <c r="AF285" i="1" s="1"/>
  <c r="AE286" i="1"/>
  <c r="AF286" i="1" s="1"/>
  <c r="AE287" i="1"/>
  <c r="AF287" i="1" s="1"/>
  <c r="AE288" i="1"/>
  <c r="AF288" i="1" s="1"/>
  <c r="AE289" i="1"/>
  <c r="AF289" i="1" s="1"/>
  <c r="AE290" i="1"/>
  <c r="AF290" i="1" s="1"/>
  <c r="AE291" i="1"/>
  <c r="AF291" i="1" s="1"/>
  <c r="AE2" i="1"/>
  <c r="AF2" i="1" s="1"/>
</calcChain>
</file>

<file path=xl/sharedStrings.xml><?xml version="1.0" encoding="utf-8"?>
<sst xmlns="http://schemas.openxmlformats.org/spreadsheetml/2006/main" count="1220" uniqueCount="339">
  <si>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</si>
  <si>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</si>
  <si>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</si>
  <si>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</si>
  <si>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</si>
  <si>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</si>
  <si>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</si>
  <si>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</si>
  <si>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</si>
  <si>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</si>
  <si>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</si>
  <si>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</si>
  <si>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</si>
  <si>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</si>
  <si>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</si>
  <si>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</si>
  <si>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</si>
  <si>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</si>
  <si>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infantry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</si>
  <si>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</si>
  <si>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</si>
  <si>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</si>
  <si>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</si>
  <si>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</si>
  <si>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</si>
  <si>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</si>
  <si>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</si>
  <si>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</si>
  <si>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</si>
  <si>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</si>
  <si>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</si>
  <si>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</si>
  <si>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</si>
  <si>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</si>
  <si>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</si>
  <si>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</si>
  <si>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</si>
  <si>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</si>
  <si>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</si>
  <si>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</si>
  <si>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</si>
  <si>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Infantry Squad </t>
  </si>
  <si>
    <t xml:space="preserve">M1A2 Abrams </t>
  </si>
  <si>
    <t xml:space="preserve">M2 Bradley </t>
  </si>
  <si>
    <t xml:space="preserve">Stryker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</si>
  <si>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</si>
  <si>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</si>
  <si>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</si>
  <si>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</si>
  <si>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</si>
  <si>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</si>
  <si>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</si>
  <si>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</si>
  <si>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</si>
  <si>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</si>
  <si>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BTR-80  #11</t>
  </si>
  <si>
    <t>BMP-2  #12</t>
  </si>
  <si>
    <t>BMP-2  #13</t>
  </si>
  <si>
    <t>BTR-80  #14</t>
  </si>
  <si>
    <t>BMP-2  #15</t>
  </si>
  <si>
    <t>BMP-2  #16</t>
  </si>
  <si>
    <t>BTR-80  #17</t>
  </si>
  <si>
    <t>Infantry Squad  #18</t>
  </si>
  <si>
    <t>Infantry Squad  #19</t>
  </si>
  <si>
    <t>Infantry Squad  #20</t>
  </si>
  <si>
    <t>T-72B3 Tank  #21</t>
  </si>
  <si>
    <t>T-72B3 Tank  #22</t>
  </si>
  <si>
    <t>T-80BVM Tank  #23</t>
  </si>
  <si>
    <t>T-72B3 Tank  #24</t>
  </si>
  <si>
    <t>T-80BVM Tank  #25</t>
  </si>
  <si>
    <t>BMP-2  #26</t>
  </si>
  <si>
    <t>BMP-2  #27</t>
  </si>
  <si>
    <t>BTR-80  #28</t>
  </si>
  <si>
    <t>BMP-2  #29</t>
  </si>
  <si>
    <t>BMP-2  #30</t>
  </si>
  <si>
    <t>BTR-80  #31</t>
  </si>
  <si>
    <t>BMP-2  #32</t>
  </si>
  <si>
    <t>BMP-2  #33</t>
  </si>
  <si>
    <t>BTR-80  #34</t>
  </si>
  <si>
    <t>BMP-2  #35</t>
  </si>
  <si>
    <t>BMP-2  #36</t>
  </si>
  <si>
    <t>BTR-80  #37</t>
  </si>
  <si>
    <t>Infantry Squad  #38</t>
  </si>
  <si>
    <t>Infantry Squad  #39</t>
  </si>
  <si>
    <t>Infantry Squad  #40</t>
  </si>
  <si>
    <t>T-72B3 Tank  #41</t>
  </si>
  <si>
    <t>T-72B3 Tank  #42</t>
  </si>
  <si>
    <t>T-80BVM Tank  #43</t>
  </si>
  <si>
    <t>T-72B3 Tank  #44</t>
  </si>
  <si>
    <t>T-80BVM Tank  #45</t>
  </si>
  <si>
    <t>BMP-2  #46</t>
  </si>
  <si>
    <t>BMP-2  #47</t>
  </si>
  <si>
    <t>BTR-80  #48</t>
  </si>
  <si>
    <t>BMP-2  #49</t>
  </si>
  <si>
    <t>BMP-2  #50</t>
  </si>
  <si>
    <t>BTR-80  #51</t>
  </si>
  <si>
    <t>BMP-2  #52</t>
  </si>
  <si>
    <t>BMP-2  #53</t>
  </si>
  <si>
    <t>BTR-80  #54</t>
  </si>
  <si>
    <t>BMP-2  #55</t>
  </si>
  <si>
    <t>BMP-2  #56</t>
  </si>
  <si>
    <t>BTR-80  #57</t>
  </si>
  <si>
    <t>Infantry Squad  #58</t>
  </si>
  <si>
    <t>Infantry Squad  #59</t>
  </si>
  <si>
    <t>Infantry Squad  #60</t>
  </si>
  <si>
    <t>T-72B3 Tank  #61</t>
  </si>
  <si>
    <t>T-72B3 Tank  #62</t>
  </si>
  <si>
    <t>T-80BVM Tank  #63</t>
  </si>
  <si>
    <t>T-72B3 Tank  #64</t>
  </si>
  <si>
    <t>T-80BVM Tank  #65</t>
  </si>
  <si>
    <t>BMP-2  #66</t>
  </si>
  <si>
    <t>BMP-2  #67</t>
  </si>
  <si>
    <t>BTR-80  #68</t>
  </si>
  <si>
    <t>BMP-2  #69</t>
  </si>
  <si>
    <t>BMP-2  #70</t>
  </si>
  <si>
    <t>BTR-80  #71</t>
  </si>
  <si>
    <t>BMP-2  #72</t>
  </si>
  <si>
    <t>BMP-2  #73</t>
  </si>
  <si>
    <t>BTR-80  #74</t>
  </si>
  <si>
    <t>BMP-2  #75</t>
  </si>
  <si>
    <t>BMP-2  #76</t>
  </si>
  <si>
    <t>BTR-80  #77</t>
  </si>
  <si>
    <t>Infantry Squad  #78</t>
  </si>
  <si>
    <t>Infantry Squad  #79</t>
  </si>
  <si>
    <t>Infantry Squad  #80</t>
  </si>
  <si>
    <t>T-72B3 Tank  #81</t>
  </si>
  <si>
    <t>T-72B3 Tank  #82</t>
  </si>
  <si>
    <t>T-80BVM Tank  #83</t>
  </si>
  <si>
    <t>T-72B3 Tank  #84</t>
  </si>
  <si>
    <t>T-80BVM Tank  #85</t>
  </si>
  <si>
    <t>BMP-2  #86</t>
  </si>
  <si>
    <t>BMP-2  #87</t>
  </si>
  <si>
    <t>BTR-80  #88</t>
  </si>
  <si>
    <t>BMP-2  #89</t>
  </si>
  <si>
    <t>BMP-2  #90</t>
  </si>
  <si>
    <t>BTR-80  #91</t>
  </si>
  <si>
    <t>BMP-2  #92</t>
  </si>
  <si>
    <t>BMP-2  #93</t>
  </si>
  <si>
    <t>BTR-80  #94</t>
  </si>
  <si>
    <t>BMP-2  #95</t>
  </si>
  <si>
    <t>BMP-2  #96</t>
  </si>
  <si>
    <t>BTR-80  #97</t>
  </si>
  <si>
    <t>Infantry Squad  #98</t>
  </si>
  <si>
    <t>Infantry Squad  #99</t>
  </si>
  <si>
    <t>Infantry Squad  #100</t>
  </si>
  <si>
    <t>T-72B3 Tank  #101</t>
  </si>
  <si>
    <t>T-72B3 Tank  #102</t>
  </si>
  <si>
    <t>T-80BVM Tank  #103</t>
  </si>
  <si>
    <t>T-72B3 Tank  #104</t>
  </si>
  <si>
    <t>T-80BVM Tank  #105</t>
  </si>
  <si>
    <t>BMP-2  #106</t>
  </si>
  <si>
    <t>BMP-2  #107</t>
  </si>
  <si>
    <t>BTR-80  #108</t>
  </si>
  <si>
    <t>BMP-2  #109</t>
  </si>
  <si>
    <t>BMP-2  #110</t>
  </si>
  <si>
    <t>BTR-80  #111</t>
  </si>
  <si>
    <t>BMP-2  #112</t>
  </si>
  <si>
    <t>BMP-2  #113</t>
  </si>
  <si>
    <t>BTR-80  #114</t>
  </si>
  <si>
    <t>BMP-2  #115</t>
  </si>
  <si>
    <t>BMP-2  #116</t>
  </si>
  <si>
    <t>BTR-80  #117</t>
  </si>
  <si>
    <t>Infantry Squad  #118</t>
  </si>
  <si>
    <t>Infantry Squad  #119</t>
  </si>
  <si>
    <t>Infantry Squad  #120</t>
  </si>
  <si>
    <t>T-72B3 Tank  #121</t>
  </si>
  <si>
    <t>T-72B3 Tank  #122</t>
  </si>
  <si>
    <t>T-80BVM Tank  #123</t>
  </si>
  <si>
    <t>T-72B3 Tank  #124</t>
  </si>
  <si>
    <t>T-80BVM Tank  #125</t>
  </si>
  <si>
    <t>BMP-2  #126</t>
  </si>
  <si>
    <t>BMP-2  #127</t>
  </si>
  <si>
    <t>BTR-80  #128</t>
  </si>
  <si>
    <t>BMP-2  #129</t>
  </si>
  <si>
    <t>BMP-2  #130</t>
  </si>
  <si>
    <t>BTR-80  #131</t>
  </si>
  <si>
    <t>BMP-2  #132</t>
  </si>
  <si>
    <t>BMP-2  #133</t>
  </si>
  <si>
    <t>BTR-80  #134</t>
  </si>
  <si>
    <t>BMP-2  #135</t>
  </si>
  <si>
    <t>BMP-2  #136</t>
  </si>
  <si>
    <t>BTR-80  #137</t>
  </si>
  <si>
    <t>Infantry Squad  #138</t>
  </si>
  <si>
    <t>Infantry Squad  #139</t>
  </si>
  <si>
    <t>Infantry Squad  #140</t>
  </si>
  <si>
    <t>T-72B3 Tank  #141</t>
  </si>
  <si>
    <t>T-72B3 Tank  #142</t>
  </si>
  <si>
    <t>T-80BVM Tank  #143</t>
  </si>
  <si>
    <t>T-72B3 Tank  #144</t>
  </si>
  <si>
    <t>T-80BVM Tank  #145</t>
  </si>
  <si>
    <t>BMP-2  #146</t>
  </si>
  <si>
    <t>BMP-2  #147</t>
  </si>
  <si>
    <t>BTR-80  #148</t>
  </si>
  <si>
    <t>BMP-2  #149</t>
  </si>
  <si>
    <t>BMP-2  #150</t>
  </si>
  <si>
    <t>BTR-80  #151</t>
  </si>
  <si>
    <t>BMP-2  #152</t>
  </si>
  <si>
    <t>BMP-2  #153</t>
  </si>
  <si>
    <t>BTR-80  #154</t>
  </si>
  <si>
    <t>BMP-2  #155</t>
  </si>
  <si>
    <t>BMP-2  #156</t>
  </si>
  <si>
    <t>BTR-80  #157</t>
  </si>
  <si>
    <t>Infantry Squad  #158</t>
  </si>
  <si>
    <t>Infantry Squad  #159</t>
  </si>
  <si>
    <t>Infantry Squad  #160</t>
  </si>
  <si>
    <t>T-72B3 Tank  #161</t>
  </si>
  <si>
    <t>T-72B3 Tank  #162</t>
  </si>
  <si>
    <t>T-80BVM Tank  #163</t>
  </si>
  <si>
    <t>T-72B3 Tank  #164</t>
  </si>
  <si>
    <t>T-80BVM Tank  #165</t>
  </si>
  <si>
    <t>BMP-2  #166</t>
  </si>
  <si>
    <t>BMP-2  #167</t>
  </si>
  <si>
    <t>BTR-80  #168</t>
  </si>
  <si>
    <t>BMP-2  #169</t>
  </si>
  <si>
    <t>BMP-2  #170</t>
  </si>
  <si>
    <t>BTR-80  #171</t>
  </si>
  <si>
    <t>BMP-2  #172</t>
  </si>
  <si>
    <t>BMP-2  #173</t>
  </si>
  <si>
    <t>BTR-80  #174</t>
  </si>
  <si>
    <t>BMP-2  #175</t>
  </si>
  <si>
    <t>BMP-2  #176</t>
  </si>
  <si>
    <t>BTR-80  #177</t>
  </si>
  <si>
    <t>Infantry Squad  #178</t>
  </si>
  <si>
    <t>Infantry Squad  #179</t>
  </si>
  <si>
    <t>Infantry Squad  #180</t>
  </si>
  <si>
    <t>T-72B3 Tank  #181</t>
  </si>
  <si>
    <t>T-72B3 Tank  #182</t>
  </si>
  <si>
    <t>T-80BVM Tank  #183</t>
  </si>
  <si>
    <t>T-72B3 Tank  #184</t>
  </si>
  <si>
    <t>T-80BVM Tank  #185</t>
  </si>
  <si>
    <t>BMP-2  #186</t>
  </si>
  <si>
    <t>BMP-2  #187</t>
  </si>
  <si>
    <t>BTR-80  #188</t>
  </si>
  <si>
    <t>BMP-2  #189</t>
  </si>
  <si>
    <t>BMP-2  #190</t>
  </si>
  <si>
    <t>BTR-80  #191</t>
  </si>
  <si>
    <t>BMP-2  #192</t>
  </si>
  <si>
    <t>BMP-2  #193</t>
  </si>
  <si>
    <t>BTR-80  #194</t>
  </si>
  <si>
    <t>BMP-2  #195</t>
  </si>
  <si>
    <t>BMP-2  #196</t>
  </si>
  <si>
    <t>BTR-80  #197</t>
  </si>
  <si>
    <t>Infantry Squad  #198</t>
  </si>
  <si>
    <t>Infantry Squad  #199</t>
  </si>
  <si>
    <t>Infantry Squad  #200</t>
  </si>
  <si>
    <t>M1A2 Abrams  #801</t>
  </si>
  <si>
    <t>M1A2 Abrams  #802</t>
  </si>
  <si>
    <t>M1A2 Abrams  #803</t>
  </si>
  <si>
    <t>M2 Bradley  #804</t>
  </si>
  <si>
    <t>M2 Bradley  #805</t>
  </si>
  <si>
    <t>Stryker  #806</t>
  </si>
  <si>
    <t>Infantry Squad  #807</t>
  </si>
  <si>
    <t>Infantry Squad  #808</t>
  </si>
  <si>
    <t>Infantry Squad  #809</t>
  </si>
  <si>
    <t>M1A2 Abrams  #810</t>
  </si>
  <si>
    <t>M1A2 Abrams  #811</t>
  </si>
  <si>
    <t>M1A2 Abrams  #812</t>
  </si>
  <si>
    <t>M2 Bradley  #813</t>
  </si>
  <si>
    <t>M2 Bradley  #814</t>
  </si>
  <si>
    <t>Stryker  #815</t>
  </si>
  <si>
    <t>Infantry Squad  #816</t>
  </si>
  <si>
    <t>Infantry Squad  #817</t>
  </si>
  <si>
    <t>Infantry Squad  #818</t>
  </si>
  <si>
    <t>M1A2 Abrams  #819</t>
  </si>
  <si>
    <t>M1A2 Abrams  #820</t>
  </si>
  <si>
    <t>M1A2 Abrams  #821</t>
  </si>
  <si>
    <t>M2 Bradley  #822</t>
  </si>
  <si>
    <t>M2 Bradley  #823</t>
  </si>
  <si>
    <t>Stryker  #824</t>
  </si>
  <si>
    <t>Infantry Squad  #825</t>
  </si>
  <si>
    <t>Infantry Squad  #826</t>
  </si>
  <si>
    <t>Infantry Squad  #827</t>
  </si>
  <si>
    <t>M1A2 Abrams  #828</t>
  </si>
  <si>
    <t>M1A2 Abrams  #829</t>
  </si>
  <si>
    <t>M1A2 Abrams  #830</t>
  </si>
  <si>
    <t>M2 Bradley  #831</t>
  </si>
  <si>
    <t>M2 Bradley  #832</t>
  </si>
  <si>
    <t>Stryker  #833</t>
  </si>
  <si>
    <t>Infantry Squad  #834</t>
  </si>
  <si>
    <t>Infantry Squad  #835</t>
  </si>
  <si>
    <t>Infantry Squad  #836</t>
  </si>
  <si>
    <t>M1A2 Abrams  #837</t>
  </si>
  <si>
    <t>M1A2 Abrams  #838</t>
  </si>
  <si>
    <t>M1A2 Abrams  #839</t>
  </si>
  <si>
    <t>M2 Bradley  #840</t>
  </si>
  <si>
    <t>M2 Bradley  #841</t>
  </si>
  <si>
    <t>Stryker  #842</t>
  </si>
  <si>
    <t>Infantry Squad  #843</t>
  </si>
  <si>
    <t>Infantry Squad  #844</t>
  </si>
  <si>
    <t>Infantry Squad  #845</t>
  </si>
  <si>
    <t>M1A2 Abrams  #846</t>
  </si>
  <si>
    <t>M1A2 Abrams  #847</t>
  </si>
  <si>
    <t>M1A2 Abrams  #848</t>
  </si>
  <si>
    <t>M2 Bradley  #849</t>
  </si>
  <si>
    <t>M2 Bradley  #850</t>
  </si>
  <si>
    <t>Stryker  #851</t>
  </si>
  <si>
    <t>Infantry Squad  #852</t>
  </si>
  <si>
    <t>Infantry Squad  #853</t>
  </si>
  <si>
    <t>Infantry Squad  #854</t>
  </si>
  <si>
    <t>M1A2 Abrams  #855</t>
  </si>
  <si>
    <t>M1A2 Abrams  #856</t>
  </si>
  <si>
    <t>M1A2 Abrams  #857</t>
  </si>
  <si>
    <t>M2 Bradley  #858</t>
  </si>
  <si>
    <t>M2 Bradley  #859</t>
  </si>
  <si>
    <t>Stryker  #860</t>
  </si>
  <si>
    <t>Infantry Squad  #861</t>
  </si>
  <si>
    <t>Infantry Squad  #862</t>
  </si>
  <si>
    <t>Infantry Squad  #863</t>
  </si>
  <si>
    <t>M1A2 Abrams  #864</t>
  </si>
  <si>
    <t>M1A2 Abrams  #865</t>
  </si>
  <si>
    <t>M1A2 Abrams  #866</t>
  </si>
  <si>
    <t>M2 Bradley  #867</t>
  </si>
  <si>
    <t>M2 Bradley  #868</t>
  </si>
  <si>
    <t>Stryker  #869</t>
  </si>
  <si>
    <t>Infantry Squad  #870</t>
  </si>
  <si>
    <t>Infantry Squad  #871</t>
  </si>
  <si>
    <t>Infantry Squad  #872</t>
  </si>
  <si>
    <t>M1A2 Abrams  #873</t>
  </si>
  <si>
    <t>M1A2 Abrams  #874</t>
  </si>
  <si>
    <t>M1A2 Abrams  #875</t>
  </si>
  <si>
    <t>M2 Bradley  #876</t>
  </si>
  <si>
    <t>M2 Bradley  #877</t>
  </si>
  <si>
    <t>Stryker  #878</t>
  </si>
  <si>
    <t>Infantry Squad  #879</t>
  </si>
  <si>
    <t>Infantry Squad  #880</t>
  </si>
  <si>
    <t>Infantry Squad  #881</t>
  </si>
  <si>
    <t>M1A2 Abrams  #882</t>
  </si>
  <si>
    <t>M1A2 Abrams  #883</t>
  </si>
  <si>
    <t>M1A2 Abrams  #884</t>
  </si>
  <si>
    <t>M2 Bradley  #885</t>
  </si>
  <si>
    <t>M2 Bradley  #886</t>
  </si>
  <si>
    <t>Stryker  #887</t>
  </si>
  <si>
    <t>Infantry Squad  #888</t>
  </si>
  <si>
    <t>Infantry Squad  #889</t>
  </si>
  <si>
    <t>Infantry Squad  #890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</si>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</sst>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1"/>
  <sheetViews>
    <sheetView tabSelected="1" topLeftCell="A246" zoomScale="70" zoomScaleNormal="70" workbookViewId="0">
      <selection activeCell="E202" sqref="E202:F291"/>
    </sheetView>
  </sheetViews>
  <sheetFormatPr defaultRowHeight="15" x14ac:dyDescent="0.25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40625" customWidth="1"/>
    <col min="21" max="30" width="12.5703125" customWidth="1"/>
    <col min="35" max="35" width="25" customWidth="1"/>
    <col min="36" max="36" width="25.425781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25">
      <c r="A2" s="10">
        <v>1</v>
      </c>
      <c r="B2" s="10" t="s">
        <v>45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337</v>
      </c>
      <c r="T2" s="20" t="s">
        <v>338</v>
      </c>
      <c r="U2" s="20">
        <f ca="1">RANDBETWEEN(0,100)/100</f>
        <v>0.56999999999999995</v>
      </c>
      <c r="V2" s="20">
        <f ca="1">RANDBETWEEN(0,100)/100</f>
        <v>0.47</v>
      </c>
      <c r="W2" s="20">
        <f ca="1">RANDBETWEEN(0,100)/100</f>
        <v>0.17</v>
      </c>
      <c r="X2">
        <f ca="1">ROUND(IF(U2 &lt; $T$9,
 (1-SQRT(V2))*$T$3 + SQRT(V2)*(1-W2)*$T$4 + SQRT(V2)*W2*$T$5,
 (1-SQRT(V2))*$T$3 + SQRT(V2)*(1-W2)*$T$5 + SQRT(V2)*W2*$T$6
)/100,5)</f>
        <v>36.680210000000002</v>
      </c>
      <c r="Y2">
        <f ca="1">ROUND(IF(U2&lt;$T$9,(1-SQRT(V2))*$S$3+SQRT(V2)*(1-W2)*$S$4+SQRT(V2)*W2*$S$5,(1-SQRT(V2))*$S$3+SQRT(V2)*(1-W2)*$S$5+SQRT(V2)*W2*$S$6)/100,5)</f>
        <v>47.586199999999998</v>
      </c>
      <c r="Z2" s="19">
        <f ca="1">RANDBETWEEN(0,100)/100</f>
        <v>0.46</v>
      </c>
      <c r="AA2" s="19">
        <f ca="1">RANDBETWEEN(0,100)/100</f>
        <v>0.28000000000000003</v>
      </c>
      <c r="AB2" s="19">
        <f ca="1">RANDBETWEEN(0,100)/100</f>
        <v>0.06</v>
      </c>
      <c r="AC2">
        <f ca="1">ROUND(IF(Z2 &lt; $T$18,
 (1-SQRT(AA2))*$T$12 + SQRT(AA2)*(1-AB2)*$T$13 + SQRT(AA2)*AB2*$T$14,
 (1-SQRT(AA2))*$T$12 + SQRT(AA2)*(1-AB2)*$T$14 + SQRT(AA2)*AB2*$T$15
)/100,5)</f>
        <v>36.8262</v>
      </c>
      <c r="AD2">
        <f ca="1">ROUND(IF(Z2&lt;$T$18,
(1-SQRT(AA2))*$S$12+SQRT(AA2)*(1-AB2)*$S$13+SQRT(AA2)*AB2*$S$14,
(1-SQRT(AA2))*$S$12+SQRT(AA2)*(1-AB2)*$S$14+SQRT(AA2)*AB2*$S$15)/100,5)</f>
        <v>47.628039999999999</v>
      </c>
      <c r="AE2">
        <f ca="1">RANDBETWEEN(0,10000)</f>
        <v>1592</v>
      </c>
      <c r="AF2">
        <f ca="1">36+AE2/10000</f>
        <v>36.159199999999998</v>
      </c>
      <c r="AI2" s="10" t="s">
        <v>37</v>
      </c>
      <c r="AJ2" t="str">
        <f>CONCATENATE(AI2," #",A2)</f>
        <v>T-72B3 Tank  #1</v>
      </c>
      <c r="AL2" s="10">
        <f ca="1">RANDBETWEEN(0,1000)</f>
        <v>876</v>
      </c>
      <c r="AM2" s="10">
        <f ca="1">47.7+AL2/10000</f>
        <v>47.787600000000005</v>
      </c>
    </row>
    <row r="3" spans="1:39" x14ac:dyDescent="0.25">
      <c r="A3" s="10">
        <v>2</v>
      </c>
      <c r="B3" s="10" t="s">
        <v>46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33" ca="1" si="0">RANDBETWEEN(0,100)/100</f>
        <v>0.74</v>
      </c>
      <c r="V3" s="20">
        <f t="shared" ca="1" si="0"/>
        <v>0.08</v>
      </c>
      <c r="W3" s="20">
        <f t="shared" ca="1" si="0"/>
        <v>0.55000000000000004</v>
      </c>
      <c r="X3">
        <f t="shared" ref="X3:X32" ca="1" si="1">ROUND(IF(U3 &lt; $T$9,
 (1-SQRT(V3))*$T$3 + SQRT(V3)*(1-W3)*$T$4 + SQRT(V3)*W3*$T$5,
 (1-SQRT(V3))*$T$3 + SQRT(V3)*(1-W3)*$T$5 + SQRT(V3)*W3*$T$6
)/100,5)</f>
        <v>36.643839999999997</v>
      </c>
      <c r="Y3">
        <f t="shared" ref="Y3:Y32" ca="1" si="2">ROUND(IF(U3&lt;$T$9,(1-SQRT(V3))*$S$3+SQRT(V3)*(1-W3)*$S$4+SQRT(V3)*W3*$S$5,(1-SQRT(V3))*$S$3+SQRT(V3)*(1-W3)*$S$5+SQRT(V3)*W3*$S$6)/100,5)</f>
        <v>47.67454</v>
      </c>
      <c r="Z3" s="19">
        <f t="shared" ref="Z3:AB33" ca="1" si="3">RANDBETWEEN(0,100)/100</f>
        <v>0.54</v>
      </c>
      <c r="AA3" s="19">
        <f t="shared" ca="1" si="3"/>
        <v>0.83</v>
      </c>
      <c r="AB3" s="19">
        <f t="shared" ca="1" si="3"/>
        <v>0.33</v>
      </c>
      <c r="AC3">
        <f t="shared" ref="AC3:AC32" ca="1" si="4">ROUND(IF(Z3 &lt; $T$18,
 (1-SQRT(AA3))*$T$12 + SQRT(AA3)*(1-AB3)*$T$13 + SQRT(AA3)*AB3*$T$14,
 (1-SQRT(AA3))*$T$12 + SQRT(AA3)*(1-AB3)*$T$14 + SQRT(AA3)*AB3*$T$15
)/100,5)</f>
        <v>36.856589999999997</v>
      </c>
      <c r="AD3">
        <f t="shared" ref="AD3:AD32" ca="1" si="5">ROUND(IF(Z3&lt;$T$18,
(1-SQRT(AA3))*$S$12+SQRT(AA3)*(1-AB3)*$S$13+SQRT(AA3)*AB3*$S$14,
(1-SQRT(AA3))*$S$12+SQRT(AA3)*(1-AB3)*$S$14+SQRT(AA3)*AB3*$S$15)/100,5)</f>
        <v>47.660580000000003</v>
      </c>
      <c r="AE3">
        <f t="shared" ref="AE3:AE66" ca="1" si="6">RANDBETWEEN(0,10000)</f>
        <v>4595</v>
      </c>
      <c r="AF3">
        <f t="shared" ref="AF3:AF66" ca="1" si="7">36+AE3/10000</f>
        <v>36.459499999999998</v>
      </c>
      <c r="AI3" s="10" t="s">
        <v>37</v>
      </c>
      <c r="AJ3" t="str">
        <f t="shared" ref="AJ3:AJ66" si="8">CONCATENATE(AI3," #",A3)</f>
        <v>T-72B3 Tank  #2</v>
      </c>
      <c r="AL3" s="10">
        <f t="shared" ref="AL3:AL66" ca="1" si="9">RANDBETWEEN(0,1000)</f>
        <v>786</v>
      </c>
      <c r="AM3" s="10">
        <f t="shared" ref="AM3:AM66" ca="1" si="10">47.7+AL3/10000</f>
        <v>47.778600000000004</v>
      </c>
    </row>
    <row r="4" spans="1:39" x14ac:dyDescent="0.25">
      <c r="A4" s="10">
        <v>3</v>
      </c>
      <c r="B4" s="10" t="s">
        <v>47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19</v>
      </c>
      <c r="S4" s="20">
        <v>4760</v>
      </c>
      <c r="T4" s="20">
        <v>3650</v>
      </c>
      <c r="U4" s="20">
        <f t="shared" ca="1" si="0"/>
        <v>0.79</v>
      </c>
      <c r="V4" s="20">
        <f t="shared" ca="1" si="0"/>
        <v>0.93</v>
      </c>
      <c r="W4" s="20">
        <f t="shared" ca="1" si="0"/>
        <v>0.93</v>
      </c>
      <c r="X4">
        <f t="shared" ca="1" si="1"/>
        <v>36.786119999999997</v>
      </c>
      <c r="Y4">
        <f t="shared" ca="1" si="2"/>
        <v>47.686500000000002</v>
      </c>
      <c r="Z4" s="19">
        <f t="shared" ca="1" si="3"/>
        <v>0.11</v>
      </c>
      <c r="AA4" s="19">
        <f t="shared" ca="1" si="3"/>
        <v>0.53</v>
      </c>
      <c r="AB4" s="19">
        <f t="shared" ca="1" si="3"/>
        <v>0.04</v>
      </c>
      <c r="AC4">
        <f t="shared" ca="1" si="4"/>
        <v>36.859200000000001</v>
      </c>
      <c r="AD4">
        <f t="shared" ca="1" si="5"/>
        <v>47.601460000000003</v>
      </c>
      <c r="AE4">
        <f t="shared" ca="1" si="6"/>
        <v>1385</v>
      </c>
      <c r="AF4">
        <f t="shared" ca="1" si="7"/>
        <v>36.138500000000001</v>
      </c>
      <c r="AI4" s="10" t="s">
        <v>38</v>
      </c>
      <c r="AJ4" t="str">
        <f t="shared" si="8"/>
        <v>T-80BVM Tank  #3</v>
      </c>
      <c r="AL4" s="10">
        <f t="shared" ca="1" si="9"/>
        <v>558</v>
      </c>
      <c r="AM4" s="10">
        <f t="shared" ca="1" si="10"/>
        <v>47.755800000000001</v>
      </c>
    </row>
    <row r="5" spans="1:39" x14ac:dyDescent="0.25">
      <c r="A5" s="10">
        <v>4</v>
      </c>
      <c r="B5" s="10" t="s">
        <v>48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335</v>
      </c>
      <c r="S5" s="20">
        <v>4750</v>
      </c>
      <c r="T5" s="20">
        <v>3670</v>
      </c>
      <c r="U5" s="20">
        <f t="shared" ca="1" si="0"/>
        <v>0.77</v>
      </c>
      <c r="V5" s="20">
        <f t="shared" ca="1" si="0"/>
        <v>0.6</v>
      </c>
      <c r="W5" s="20">
        <f t="shared" ca="1" si="0"/>
        <v>0.97</v>
      </c>
      <c r="X5">
        <f t="shared" ca="1" si="1"/>
        <v>36.752600000000001</v>
      </c>
      <c r="Y5">
        <f t="shared" ca="1" si="2"/>
        <v>47.695349999999998</v>
      </c>
      <c r="Z5" s="19">
        <f t="shared" ca="1" si="3"/>
        <v>0.3</v>
      </c>
      <c r="AA5" s="19">
        <f t="shared" ca="1" si="3"/>
        <v>0.71</v>
      </c>
      <c r="AB5" s="19">
        <f t="shared" ca="1" si="3"/>
        <v>0.2</v>
      </c>
      <c r="AC5">
        <f t="shared" ca="1" si="4"/>
        <v>36.876390000000001</v>
      </c>
      <c r="AD5">
        <f t="shared" ca="1" si="5"/>
        <v>47.608429999999998</v>
      </c>
      <c r="AE5">
        <f t="shared" ca="1" si="6"/>
        <v>4785</v>
      </c>
      <c r="AF5">
        <f t="shared" ca="1" si="7"/>
        <v>36.478499999999997</v>
      </c>
      <c r="AI5" s="10" t="s">
        <v>37</v>
      </c>
      <c r="AJ5" t="str">
        <f t="shared" si="8"/>
        <v>T-72B3 Tank  #4</v>
      </c>
      <c r="AL5" s="10">
        <f t="shared" ca="1" si="9"/>
        <v>123</v>
      </c>
      <c r="AM5" s="10">
        <f t="shared" ca="1" si="10"/>
        <v>47.712300000000006</v>
      </c>
    </row>
    <row r="6" spans="1:39" x14ac:dyDescent="0.25">
      <c r="A6" s="10">
        <v>5</v>
      </c>
      <c r="B6" s="10" t="s">
        <v>49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336</v>
      </c>
      <c r="S6" s="20">
        <v>4770</v>
      </c>
      <c r="T6" s="20">
        <v>3680</v>
      </c>
      <c r="U6" s="20">
        <f t="shared" ca="1" si="0"/>
        <v>0.37</v>
      </c>
      <c r="V6" s="20">
        <f t="shared" ca="1" si="0"/>
        <v>0.71</v>
      </c>
      <c r="W6" s="20">
        <f t="shared" ca="1" si="0"/>
        <v>0.15</v>
      </c>
      <c r="X6">
        <f t="shared" ca="1" si="1"/>
        <v>36.541020000000003</v>
      </c>
      <c r="Y6">
        <f t="shared" ca="1" si="2"/>
        <v>47.603099999999998</v>
      </c>
      <c r="Z6" s="19">
        <f t="shared" ca="1" si="3"/>
        <v>0.59</v>
      </c>
      <c r="AA6" s="19">
        <f t="shared" ca="1" si="3"/>
        <v>0.28999999999999998</v>
      </c>
      <c r="AB6" s="19">
        <f t="shared" ca="1" si="3"/>
        <v>0.48</v>
      </c>
      <c r="AC6">
        <f t="shared" ca="1" si="4"/>
        <v>36.804929999999999</v>
      </c>
      <c r="AD6">
        <f t="shared" ca="1" si="5"/>
        <v>47.639850000000003</v>
      </c>
      <c r="AE6">
        <f t="shared" ca="1" si="6"/>
        <v>5524</v>
      </c>
      <c r="AF6">
        <f t="shared" ca="1" si="7"/>
        <v>36.552399999999999</v>
      </c>
      <c r="AI6" s="10" t="s">
        <v>38</v>
      </c>
      <c r="AJ6" t="str">
        <f t="shared" si="8"/>
        <v>T-80BVM Tank  #5</v>
      </c>
      <c r="AL6" s="10">
        <f t="shared" ca="1" si="9"/>
        <v>193</v>
      </c>
      <c r="AM6" s="10">
        <f t="shared" ca="1" si="10"/>
        <v>47.719300000000004</v>
      </c>
    </row>
    <row r="7" spans="1:39" x14ac:dyDescent="0.25">
      <c r="A7" s="10">
        <v>6</v>
      </c>
      <c r="B7" s="10" t="s">
        <v>50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0.79</v>
      </c>
      <c r="V7" s="20">
        <f t="shared" ca="1" si="0"/>
        <v>0.04</v>
      </c>
      <c r="W7" s="20">
        <f t="shared" ca="1" si="0"/>
        <v>0.28999999999999998</v>
      </c>
      <c r="X7">
        <f t="shared" ca="1" si="1"/>
        <v>36.625799999999998</v>
      </c>
      <c r="Y7">
        <f t="shared" ca="1" si="2"/>
        <v>47.671599999999998</v>
      </c>
      <c r="Z7" s="19">
        <f t="shared" ca="1" si="3"/>
        <v>0.93</v>
      </c>
      <c r="AA7" s="19">
        <f t="shared" ca="1" si="3"/>
        <v>0.11</v>
      </c>
      <c r="AB7" s="19">
        <f t="shared" ca="1" si="3"/>
        <v>0.83</v>
      </c>
      <c r="AC7">
        <f t="shared" ca="1" si="4"/>
        <v>36.772219999999997</v>
      </c>
      <c r="AD7">
        <f t="shared" ca="1" si="5"/>
        <v>47.63035</v>
      </c>
      <c r="AE7">
        <f t="shared" ca="1" si="6"/>
        <v>3787</v>
      </c>
      <c r="AF7">
        <f t="shared" ca="1" si="7"/>
        <v>36.378700000000002</v>
      </c>
      <c r="AI7" s="10" t="s">
        <v>39</v>
      </c>
      <c r="AJ7" t="str">
        <f t="shared" si="8"/>
        <v>BMP-2  #6</v>
      </c>
      <c r="AL7" s="10">
        <f t="shared" ca="1" si="9"/>
        <v>33</v>
      </c>
      <c r="AM7" s="10">
        <f t="shared" ca="1" si="10"/>
        <v>47.703300000000006</v>
      </c>
    </row>
    <row r="8" spans="1:39" x14ac:dyDescent="0.25">
      <c r="A8" s="10">
        <v>7</v>
      </c>
      <c r="B8" s="10" t="s">
        <v>51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0.87</v>
      </c>
      <c r="V8" s="20">
        <f t="shared" ca="1" si="0"/>
        <v>0.46</v>
      </c>
      <c r="W8" s="20">
        <f t="shared" ca="1" si="0"/>
        <v>0.15</v>
      </c>
      <c r="X8">
        <f t="shared" ca="1" si="1"/>
        <v>36.677999999999997</v>
      </c>
      <c r="Y8">
        <f t="shared" ca="1" si="2"/>
        <v>47.584699999999998</v>
      </c>
      <c r="Z8" s="19">
        <f t="shared" ca="1" si="3"/>
        <v>0.93</v>
      </c>
      <c r="AA8" s="19">
        <f t="shared" ca="1" si="3"/>
        <v>0.63</v>
      </c>
      <c r="AB8" s="19">
        <f t="shared" ca="1" si="3"/>
        <v>0.63</v>
      </c>
      <c r="AC8">
        <f t="shared" ca="1" si="4"/>
        <v>36.819049999999997</v>
      </c>
      <c r="AD8">
        <f t="shared" ca="1" si="5"/>
        <v>47.66469</v>
      </c>
      <c r="AE8">
        <f t="shared" ca="1" si="6"/>
        <v>2084</v>
      </c>
      <c r="AF8">
        <f t="shared" ca="1" si="7"/>
        <v>36.208399999999997</v>
      </c>
      <c r="AI8" s="10" t="s">
        <v>39</v>
      </c>
      <c r="AJ8" t="str">
        <f t="shared" si="8"/>
        <v>BMP-2  #7</v>
      </c>
      <c r="AL8" s="10">
        <f t="shared" ca="1" si="9"/>
        <v>570</v>
      </c>
      <c r="AM8" s="10">
        <f t="shared" ca="1" si="10"/>
        <v>47.757000000000005</v>
      </c>
    </row>
    <row r="9" spans="1:39" ht="15" customHeight="1" x14ac:dyDescent="0.25">
      <c r="A9" s="10">
        <v>8</v>
      </c>
      <c r="B9" s="10" t="s">
        <v>52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0.05</v>
      </c>
      <c r="V9" s="20">
        <f t="shared" ca="1" si="0"/>
        <v>0.24</v>
      </c>
      <c r="W9" s="20">
        <f t="shared" ca="1" si="0"/>
        <v>0.9</v>
      </c>
      <c r="X9">
        <f t="shared" ca="1" si="1"/>
        <v>36.639189999999999</v>
      </c>
      <c r="Y9">
        <f t="shared" ca="1" si="2"/>
        <v>47.606920000000002</v>
      </c>
      <c r="Z9" s="19">
        <f t="shared" ca="1" si="3"/>
        <v>0.51</v>
      </c>
      <c r="AA9" s="19">
        <f t="shared" ca="1" si="3"/>
        <v>0.45</v>
      </c>
      <c r="AB9" s="19">
        <f t="shared" ca="1" si="3"/>
        <v>0.21</v>
      </c>
      <c r="AC9">
        <f t="shared" ca="1" si="4"/>
        <v>36.836539999999999</v>
      </c>
      <c r="AD9">
        <f t="shared" ca="1" si="5"/>
        <v>47.64058</v>
      </c>
      <c r="AE9">
        <f t="shared" ca="1" si="6"/>
        <v>7999</v>
      </c>
      <c r="AF9">
        <f t="shared" ca="1" si="7"/>
        <v>36.799900000000001</v>
      </c>
      <c r="AI9" s="10" t="s">
        <v>40</v>
      </c>
      <c r="AJ9" t="str">
        <f t="shared" si="8"/>
        <v>BTR-80  #8</v>
      </c>
      <c r="AL9" s="10">
        <f t="shared" ca="1" si="9"/>
        <v>258</v>
      </c>
      <c r="AM9" s="10">
        <f t="shared" ca="1" si="10"/>
        <v>47.7258</v>
      </c>
    </row>
    <row r="10" spans="1:39" x14ac:dyDescent="0.25">
      <c r="A10" s="10">
        <v>9</v>
      </c>
      <c r="B10" s="10" t="s">
        <v>53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</v>
      </c>
      <c r="V10" s="20">
        <f t="shared" ca="1" si="0"/>
        <v>0.45</v>
      </c>
      <c r="W10" s="20">
        <f t="shared" ca="1" si="0"/>
        <v>0.57999999999999996</v>
      </c>
      <c r="X10">
        <f t="shared" ca="1" si="1"/>
        <v>36.610729999999997</v>
      </c>
      <c r="Y10">
        <f t="shared" ca="1" si="2"/>
        <v>47.594009999999997</v>
      </c>
      <c r="Z10" s="19">
        <f t="shared" ca="1" si="3"/>
        <v>0.34</v>
      </c>
      <c r="AA10" s="19">
        <f t="shared" ca="1" si="3"/>
        <v>0.01</v>
      </c>
      <c r="AB10" s="19">
        <f t="shared" ca="1" si="3"/>
        <v>0.6</v>
      </c>
      <c r="AC10">
        <f t="shared" ca="1" si="4"/>
        <v>36.765000000000001</v>
      </c>
      <c r="AD10">
        <f t="shared" ca="1" si="5"/>
        <v>47.603000000000002</v>
      </c>
      <c r="AE10">
        <f t="shared" ca="1" si="6"/>
        <v>7846</v>
      </c>
      <c r="AF10">
        <f t="shared" ca="1" si="7"/>
        <v>36.784599999999998</v>
      </c>
      <c r="AI10" s="10" t="s">
        <v>39</v>
      </c>
      <c r="AJ10" t="str">
        <f t="shared" si="8"/>
        <v>BMP-2  #9</v>
      </c>
      <c r="AL10" s="10">
        <f t="shared" ca="1" si="9"/>
        <v>72</v>
      </c>
      <c r="AM10" s="10">
        <f t="shared" ca="1" si="10"/>
        <v>47.7072</v>
      </c>
    </row>
    <row r="11" spans="1:39" x14ac:dyDescent="0.25">
      <c r="A11" s="10">
        <v>10</v>
      </c>
      <c r="B11" s="10" t="s">
        <v>54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337</v>
      </c>
      <c r="T11" s="21" t="s">
        <v>338</v>
      </c>
      <c r="U11" s="20">
        <f t="shared" ca="1" si="0"/>
        <v>0.13</v>
      </c>
      <c r="V11" s="20">
        <f t="shared" ca="1" si="0"/>
        <v>0.23</v>
      </c>
      <c r="W11" s="20">
        <f t="shared" ca="1" si="0"/>
        <v>0.72</v>
      </c>
      <c r="X11">
        <f t="shared" ca="1" si="1"/>
        <v>36.621099999999998</v>
      </c>
      <c r="Y11">
        <f t="shared" ca="1" si="2"/>
        <v>47.617510000000003</v>
      </c>
      <c r="Z11" s="19">
        <f t="shared" ca="1" si="3"/>
        <v>0.45</v>
      </c>
      <c r="AA11" s="19">
        <f t="shared" ca="1" si="3"/>
        <v>0.46</v>
      </c>
      <c r="AB11" s="19">
        <f t="shared" ca="1" si="3"/>
        <v>0.61</v>
      </c>
      <c r="AC11">
        <f t="shared" ca="1" si="4"/>
        <v>36.810360000000003</v>
      </c>
      <c r="AD11">
        <f t="shared" ca="1" si="5"/>
        <v>47.654600000000002</v>
      </c>
      <c r="AE11">
        <f t="shared" ca="1" si="6"/>
        <v>5303</v>
      </c>
      <c r="AF11">
        <f t="shared" ca="1" si="7"/>
        <v>36.530299999999997</v>
      </c>
      <c r="AI11" s="10" t="s">
        <v>39</v>
      </c>
      <c r="AJ11" t="str">
        <f t="shared" si="8"/>
        <v>BMP-2  #10</v>
      </c>
      <c r="AL11" s="10">
        <f t="shared" ca="1" si="9"/>
        <v>944</v>
      </c>
      <c r="AM11" s="10">
        <f t="shared" ca="1" si="10"/>
        <v>47.794400000000003</v>
      </c>
    </row>
    <row r="12" spans="1:39" x14ac:dyDescent="0.25">
      <c r="A12" s="10">
        <v>11</v>
      </c>
      <c r="B12" s="10" t="s">
        <v>55</v>
      </c>
      <c r="C12" s="10" t="s">
        <v>15</v>
      </c>
      <c r="D12" s="10" t="s">
        <v>17</v>
      </c>
      <c r="E12" s="11">
        <v>36.687280000000001</v>
      </c>
      <c r="F12" s="11">
        <v>47.514060000000001</v>
      </c>
      <c r="G12" s="12">
        <v>3.5000000000000001E-3</v>
      </c>
      <c r="H12" s="13">
        <v>90</v>
      </c>
      <c r="I12" s="10">
        <v>50</v>
      </c>
      <c r="J12" s="10">
        <v>50</v>
      </c>
      <c r="K12" s="14">
        <v>1.2</v>
      </c>
      <c r="L12" s="10">
        <v>25</v>
      </c>
      <c r="M12" s="15">
        <v>0.65</v>
      </c>
      <c r="N12" s="10">
        <v>20</v>
      </c>
      <c r="O12" s="10">
        <v>8</v>
      </c>
      <c r="R12" s="19" t="s">
        <v>15</v>
      </c>
      <c r="S12" s="21">
        <v>4760</v>
      </c>
      <c r="T12" s="21">
        <v>3675</v>
      </c>
      <c r="U12" s="20">
        <f t="shared" ca="1" si="0"/>
        <v>0.25</v>
      </c>
      <c r="V12" s="20">
        <f t="shared" ca="1" si="0"/>
        <v>0.2</v>
      </c>
      <c r="W12" s="20">
        <f t="shared" ca="1" si="0"/>
        <v>0.98</v>
      </c>
      <c r="X12">
        <f t="shared" ca="1" si="1"/>
        <v>36.64293</v>
      </c>
      <c r="Y12">
        <f t="shared" ca="1" si="2"/>
        <v>47.611449999999998</v>
      </c>
      <c r="Z12" s="19">
        <f t="shared" ca="1" si="3"/>
        <v>0.68</v>
      </c>
      <c r="AA12" s="19">
        <f t="shared" ca="1" si="3"/>
        <v>0.48</v>
      </c>
      <c r="AB12" s="19">
        <f t="shared" ca="1" si="3"/>
        <v>0.73</v>
      </c>
      <c r="AC12">
        <f t="shared" ca="1" si="4"/>
        <v>36.803350000000002</v>
      </c>
      <c r="AD12">
        <f t="shared" ca="1" si="5"/>
        <v>47.659930000000003</v>
      </c>
      <c r="AE12">
        <f t="shared" ca="1" si="6"/>
        <v>7475</v>
      </c>
      <c r="AF12">
        <f t="shared" ca="1" si="7"/>
        <v>36.747500000000002</v>
      </c>
      <c r="AI12" s="10" t="s">
        <v>40</v>
      </c>
      <c r="AJ12" t="str">
        <f t="shared" si="8"/>
        <v>BTR-80  #11</v>
      </c>
      <c r="AL12" s="10">
        <f t="shared" ca="1" si="9"/>
        <v>676</v>
      </c>
      <c r="AM12" s="10">
        <f t="shared" ca="1" si="10"/>
        <v>47.767600000000002</v>
      </c>
    </row>
    <row r="13" spans="1:39" x14ac:dyDescent="0.25">
      <c r="A13" s="10">
        <v>12</v>
      </c>
      <c r="B13" s="10" t="s">
        <v>56</v>
      </c>
      <c r="C13" s="10" t="s">
        <v>15</v>
      </c>
      <c r="D13" s="10" t="s">
        <v>17</v>
      </c>
      <c r="E13" s="11">
        <v>36.673119999999997</v>
      </c>
      <c r="F13" s="11">
        <v>47.577910000000003</v>
      </c>
      <c r="G13" s="12">
        <v>3.0000000000000001E-3</v>
      </c>
      <c r="H13" s="13">
        <v>90</v>
      </c>
      <c r="I13" s="10">
        <v>60</v>
      </c>
      <c r="J13" s="10">
        <v>60</v>
      </c>
      <c r="K13" s="14">
        <v>1.5</v>
      </c>
      <c r="L13" s="10">
        <v>40</v>
      </c>
      <c r="M13" s="15">
        <v>0.7</v>
      </c>
      <c r="N13" s="10">
        <v>30</v>
      </c>
      <c r="O13" s="10">
        <v>7</v>
      </c>
      <c r="R13" s="19" t="s">
        <v>19</v>
      </c>
      <c r="S13" s="21">
        <v>4760</v>
      </c>
      <c r="T13" s="21">
        <v>3690</v>
      </c>
      <c r="U13" s="20">
        <f t="shared" ca="1" si="0"/>
        <v>0.25</v>
      </c>
      <c r="V13" s="20">
        <f t="shared" ca="1" si="0"/>
        <v>0.18</v>
      </c>
      <c r="W13" s="20">
        <f t="shared" ca="1" si="0"/>
        <v>0.52</v>
      </c>
      <c r="X13">
        <f t="shared" ca="1" si="1"/>
        <v>36.601700000000001</v>
      </c>
      <c r="Y13">
        <f t="shared" ca="1" si="2"/>
        <v>47.635509999999996</v>
      </c>
      <c r="Z13" s="19">
        <f t="shared" ca="1" si="3"/>
        <v>0.45</v>
      </c>
      <c r="AA13" s="19">
        <f t="shared" ca="1" si="3"/>
        <v>0.02</v>
      </c>
      <c r="AB13" s="19">
        <f t="shared" ca="1" si="3"/>
        <v>0.87</v>
      </c>
      <c r="AC13">
        <f t="shared" ca="1" si="4"/>
        <v>36.75891</v>
      </c>
      <c r="AD13">
        <f t="shared" ca="1" si="5"/>
        <v>47.613219999999998</v>
      </c>
      <c r="AE13">
        <f t="shared" ca="1" si="6"/>
        <v>7213</v>
      </c>
      <c r="AF13">
        <f t="shared" ca="1" si="7"/>
        <v>36.721299999999999</v>
      </c>
      <c r="AI13" s="10" t="s">
        <v>39</v>
      </c>
      <c r="AJ13" t="str">
        <f t="shared" si="8"/>
        <v>BMP-2  #12</v>
      </c>
      <c r="AL13" s="10">
        <f t="shared" ca="1" si="9"/>
        <v>63</v>
      </c>
      <c r="AM13" s="10">
        <f t="shared" ca="1" si="10"/>
        <v>47.706300000000006</v>
      </c>
    </row>
    <row r="14" spans="1:39" x14ac:dyDescent="0.25">
      <c r="A14" s="10">
        <v>13</v>
      </c>
      <c r="B14" s="10" t="s">
        <v>57</v>
      </c>
      <c r="C14" s="10" t="s">
        <v>15</v>
      </c>
      <c r="D14" s="10" t="s">
        <v>17</v>
      </c>
      <c r="E14" s="11">
        <v>36.672919999999998</v>
      </c>
      <c r="F14" s="11">
        <v>47.641869999999997</v>
      </c>
      <c r="G14" s="12">
        <v>3.0000000000000001E-3</v>
      </c>
      <c r="H14" s="13">
        <v>90</v>
      </c>
      <c r="I14" s="10">
        <v>60</v>
      </c>
      <c r="J14" s="10">
        <v>60</v>
      </c>
      <c r="K14" s="14">
        <v>1.5</v>
      </c>
      <c r="L14" s="10">
        <v>40</v>
      </c>
      <c r="M14" s="15">
        <v>0.7</v>
      </c>
      <c r="N14" s="10">
        <v>30</v>
      </c>
      <c r="O14" s="10">
        <v>7</v>
      </c>
      <c r="R14" s="19" t="s">
        <v>335</v>
      </c>
      <c r="S14" s="21">
        <v>4765</v>
      </c>
      <c r="T14" s="21">
        <v>3690</v>
      </c>
      <c r="U14" s="20">
        <f t="shared" ca="1" si="0"/>
        <v>0.37</v>
      </c>
      <c r="V14" s="20">
        <f t="shared" ca="1" si="0"/>
        <v>0.39</v>
      </c>
      <c r="W14" s="20">
        <f t="shared" ca="1" si="0"/>
        <v>0.8</v>
      </c>
      <c r="X14">
        <f t="shared" ca="1" si="1"/>
        <v>36.63747</v>
      </c>
      <c r="Y14">
        <f t="shared" ca="1" si="2"/>
        <v>47.587589999999999</v>
      </c>
      <c r="Z14" s="19">
        <f t="shared" ca="1" si="3"/>
        <v>0.74</v>
      </c>
      <c r="AA14" s="19">
        <f t="shared" ca="1" si="3"/>
        <v>0.28999999999999998</v>
      </c>
      <c r="AB14" s="19">
        <f t="shared" ca="1" si="3"/>
        <v>0.15</v>
      </c>
      <c r="AC14">
        <f t="shared" ca="1" si="4"/>
        <v>36.822699999999998</v>
      </c>
      <c r="AD14">
        <f t="shared" ca="1" si="5"/>
        <v>47.630960000000002</v>
      </c>
      <c r="AE14">
        <f t="shared" ca="1" si="6"/>
        <v>1452</v>
      </c>
      <c r="AF14">
        <f t="shared" ca="1" si="7"/>
        <v>36.145200000000003</v>
      </c>
      <c r="AI14" s="10" t="s">
        <v>39</v>
      </c>
      <c r="AJ14" t="str">
        <f t="shared" si="8"/>
        <v>BMP-2  #13</v>
      </c>
      <c r="AL14" s="10">
        <f t="shared" ca="1" si="9"/>
        <v>399</v>
      </c>
      <c r="AM14" s="10">
        <f t="shared" ca="1" si="10"/>
        <v>47.739900000000006</v>
      </c>
    </row>
    <row r="15" spans="1:39" x14ac:dyDescent="0.25">
      <c r="A15" s="10">
        <v>14</v>
      </c>
      <c r="B15" s="10" t="s">
        <v>58</v>
      </c>
      <c r="C15" s="10" t="s">
        <v>15</v>
      </c>
      <c r="D15" s="10" t="s">
        <v>17</v>
      </c>
      <c r="E15" s="11">
        <v>36.677500000000002</v>
      </c>
      <c r="F15" s="11">
        <v>47.655000000000001</v>
      </c>
      <c r="G15" s="12">
        <v>3.5000000000000001E-3</v>
      </c>
      <c r="H15" s="13">
        <v>90</v>
      </c>
      <c r="I15" s="10">
        <v>50</v>
      </c>
      <c r="J15" s="10">
        <v>50</v>
      </c>
      <c r="K15" s="14">
        <v>1.2</v>
      </c>
      <c r="L15" s="10">
        <v>25</v>
      </c>
      <c r="M15" s="15">
        <v>0.65</v>
      </c>
      <c r="N15" s="10">
        <v>20</v>
      </c>
      <c r="O15" s="10">
        <v>8</v>
      </c>
      <c r="R15" s="19" t="s">
        <v>336</v>
      </c>
      <c r="S15" s="21">
        <v>4770</v>
      </c>
      <c r="T15" s="21">
        <v>3679.9999999999995</v>
      </c>
      <c r="U15" s="20">
        <f t="shared" ca="1" si="0"/>
        <v>0.72</v>
      </c>
      <c r="V15" s="20">
        <f t="shared" ca="1" si="0"/>
        <v>0.9</v>
      </c>
      <c r="W15" s="20">
        <f t="shared" ca="1" si="0"/>
        <v>0.45</v>
      </c>
      <c r="X15">
        <f t="shared" ca="1" si="1"/>
        <v>36.737560000000002</v>
      </c>
      <c r="Y15">
        <f t="shared" ca="1" si="2"/>
        <v>47.595640000000003</v>
      </c>
      <c r="Z15" s="19">
        <f t="shared" ca="1" si="3"/>
        <v>0.72</v>
      </c>
      <c r="AA15" s="19">
        <f t="shared" ca="1" si="3"/>
        <v>0.67</v>
      </c>
      <c r="AB15" s="19">
        <f t="shared" ca="1" si="3"/>
        <v>0.73</v>
      </c>
      <c r="AC15">
        <f t="shared" ca="1" si="4"/>
        <v>36.813029999999998</v>
      </c>
      <c r="AD15">
        <f t="shared" ca="1" si="5"/>
        <v>47.6708</v>
      </c>
      <c r="AE15">
        <f t="shared" ca="1" si="6"/>
        <v>31</v>
      </c>
      <c r="AF15">
        <f t="shared" ca="1" si="7"/>
        <v>36.003100000000003</v>
      </c>
      <c r="AI15" s="10" t="s">
        <v>40</v>
      </c>
      <c r="AJ15" t="str">
        <f t="shared" si="8"/>
        <v>BTR-80  #14</v>
      </c>
      <c r="AL15" s="10">
        <f t="shared" ca="1" si="9"/>
        <v>838</v>
      </c>
      <c r="AM15" s="10">
        <f t="shared" ca="1" si="10"/>
        <v>47.783799999999999</v>
      </c>
    </row>
    <row r="16" spans="1:39" x14ac:dyDescent="0.25">
      <c r="A16" s="10">
        <v>15</v>
      </c>
      <c r="B16" s="10" t="s">
        <v>59</v>
      </c>
      <c r="C16" s="10" t="s">
        <v>15</v>
      </c>
      <c r="D16" s="10" t="s">
        <v>17</v>
      </c>
      <c r="E16" s="11">
        <v>36.535209999999999</v>
      </c>
      <c r="F16" s="11">
        <v>47.607799999999997</v>
      </c>
      <c r="G16" s="12">
        <v>3.0000000000000001E-3</v>
      </c>
      <c r="H16" s="13">
        <v>90</v>
      </c>
      <c r="I16" s="10">
        <v>60</v>
      </c>
      <c r="J16" s="10">
        <v>60</v>
      </c>
      <c r="K16" s="14">
        <v>1.5</v>
      </c>
      <c r="L16" s="10">
        <v>40</v>
      </c>
      <c r="M16" s="15">
        <v>0.7</v>
      </c>
      <c r="N16" s="10">
        <v>30</v>
      </c>
      <c r="O16" s="10">
        <v>7</v>
      </c>
      <c r="T16" s="19">
        <f>ABS(($S$13-$S$12)*($T$14-$T$12)-($T$13-$T$12)*($S$14-$S$12))</f>
        <v>75</v>
      </c>
      <c r="U16" s="20">
        <f t="shared" ca="1" si="0"/>
        <v>0.59</v>
      </c>
      <c r="V16" s="20">
        <f t="shared" ca="1" si="0"/>
        <v>0.59</v>
      </c>
      <c r="W16" s="20">
        <f t="shared" ca="1" si="0"/>
        <v>0.36</v>
      </c>
      <c r="X16">
        <f t="shared" ca="1" si="1"/>
        <v>36.704459999999997</v>
      </c>
      <c r="Y16">
        <f t="shared" ca="1" si="2"/>
        <v>47.601680000000002</v>
      </c>
      <c r="Z16" s="19">
        <f t="shared" ca="1" si="3"/>
        <v>0.4</v>
      </c>
      <c r="AA16" s="19">
        <f t="shared" ca="1" si="3"/>
        <v>0.72</v>
      </c>
      <c r="AB16" s="19">
        <f t="shared" ca="1" si="3"/>
        <v>0.56000000000000005</v>
      </c>
      <c r="AC16">
        <f t="shared" ca="1" si="4"/>
        <v>36.82976</v>
      </c>
      <c r="AD16">
        <f t="shared" ca="1" si="5"/>
        <v>47.66619</v>
      </c>
      <c r="AE16">
        <f t="shared" ca="1" si="6"/>
        <v>3566</v>
      </c>
      <c r="AF16">
        <f t="shared" ca="1" si="7"/>
        <v>36.3566</v>
      </c>
      <c r="AI16" s="10" t="s">
        <v>39</v>
      </c>
      <c r="AJ16" t="str">
        <f t="shared" si="8"/>
        <v>BMP-2  #15</v>
      </c>
      <c r="AL16" s="10">
        <f t="shared" ca="1" si="9"/>
        <v>335</v>
      </c>
      <c r="AM16" s="10">
        <f t="shared" ca="1" si="10"/>
        <v>47.733499999999999</v>
      </c>
    </row>
    <row r="17" spans="1:39" x14ac:dyDescent="0.25">
      <c r="A17" s="10">
        <v>16</v>
      </c>
      <c r="B17" s="10" t="s">
        <v>60</v>
      </c>
      <c r="C17" s="10" t="s">
        <v>15</v>
      </c>
      <c r="D17" s="10" t="s">
        <v>17</v>
      </c>
      <c r="E17" s="11">
        <v>36.721049999999998</v>
      </c>
      <c r="F17" s="11">
        <v>47.617130000000003</v>
      </c>
      <c r="G17" s="12">
        <v>3.0000000000000001E-3</v>
      </c>
      <c r="H17" s="13">
        <v>90</v>
      </c>
      <c r="I17" s="10">
        <v>60</v>
      </c>
      <c r="J17" s="10">
        <v>60</v>
      </c>
      <c r="K17" s="14">
        <v>1.5</v>
      </c>
      <c r="L17" s="10">
        <v>40</v>
      </c>
      <c r="M17" s="15">
        <v>0.7</v>
      </c>
      <c r="N17" s="10">
        <v>30</v>
      </c>
      <c r="O17" s="10">
        <v>7</v>
      </c>
      <c r="T17" s="19">
        <f>ABS(($S$14-$S$12)*($T$15-$T$12)-($T$14-$T$12)*($S$15-$S$12))</f>
        <v>125.00000000000227</v>
      </c>
      <c r="U17" s="20">
        <f t="shared" ca="1" si="0"/>
        <v>0.03</v>
      </c>
      <c r="V17" s="20">
        <f t="shared" ca="1" si="0"/>
        <v>0.75</v>
      </c>
      <c r="W17" s="20">
        <f t="shared" ca="1" si="0"/>
        <v>0.52</v>
      </c>
      <c r="X17">
        <f t="shared" ca="1" si="1"/>
        <v>36.603459999999998</v>
      </c>
      <c r="Y17">
        <f t="shared" ca="1" si="2"/>
        <v>47.568359999999998</v>
      </c>
      <c r="Z17" s="19">
        <f t="shared" ca="1" si="3"/>
        <v>0.12</v>
      </c>
      <c r="AA17" s="19">
        <f t="shared" ca="1" si="3"/>
        <v>0.71</v>
      </c>
      <c r="AB17" s="19">
        <f t="shared" ca="1" si="3"/>
        <v>0.21</v>
      </c>
      <c r="AC17">
        <f t="shared" ca="1" si="4"/>
        <v>36.876390000000001</v>
      </c>
      <c r="AD17">
        <f t="shared" ca="1" si="5"/>
        <v>47.608849999999997</v>
      </c>
      <c r="AE17">
        <f t="shared" ca="1" si="6"/>
        <v>967</v>
      </c>
      <c r="AF17">
        <f t="shared" ca="1" si="7"/>
        <v>36.096699999999998</v>
      </c>
      <c r="AI17" s="10" t="s">
        <v>39</v>
      </c>
      <c r="AJ17" t="str">
        <f t="shared" si="8"/>
        <v>BMP-2  #16</v>
      </c>
      <c r="AL17" s="10">
        <f t="shared" ca="1" si="9"/>
        <v>105</v>
      </c>
      <c r="AM17" s="10">
        <f t="shared" ca="1" si="10"/>
        <v>47.710500000000003</v>
      </c>
    </row>
    <row r="18" spans="1:39" x14ac:dyDescent="0.25">
      <c r="A18" s="10">
        <v>17</v>
      </c>
      <c r="B18" s="10" t="s">
        <v>61</v>
      </c>
      <c r="C18" s="10" t="s">
        <v>15</v>
      </c>
      <c r="D18" s="10" t="s">
        <v>17</v>
      </c>
      <c r="E18" s="11">
        <v>36.609839999999998</v>
      </c>
      <c r="F18" s="11">
        <v>47.661540000000002</v>
      </c>
      <c r="G18" s="12">
        <v>3.5000000000000001E-3</v>
      </c>
      <c r="H18" s="13">
        <v>90</v>
      </c>
      <c r="I18" s="10">
        <v>50</v>
      </c>
      <c r="J18" s="10">
        <v>50</v>
      </c>
      <c r="K18" s="14">
        <v>1.2</v>
      </c>
      <c r="L18" s="10">
        <v>25</v>
      </c>
      <c r="M18" s="15">
        <v>0.65</v>
      </c>
      <c r="N18" s="10">
        <v>20</v>
      </c>
      <c r="O18" s="10">
        <v>8</v>
      </c>
      <c r="T18" s="19">
        <f>T16/(T16+T17)</f>
        <v>0.37499999999999573</v>
      </c>
      <c r="U18" s="20">
        <f t="shared" ca="1" si="0"/>
        <v>0.24</v>
      </c>
      <c r="V18" s="20">
        <f t="shared" ca="1" si="0"/>
        <v>0.34</v>
      </c>
      <c r="W18" s="20">
        <f t="shared" ca="1" si="0"/>
        <v>0.41</v>
      </c>
      <c r="X18">
        <f t="shared" ca="1" si="1"/>
        <v>36.589500000000001</v>
      </c>
      <c r="Y18">
        <f t="shared" ca="1" si="2"/>
        <v>47.617780000000003</v>
      </c>
      <c r="Z18" s="19">
        <f t="shared" ca="1" si="3"/>
        <v>1</v>
      </c>
      <c r="AA18" s="19">
        <f t="shared" ca="1" si="3"/>
        <v>0.74</v>
      </c>
      <c r="AB18" s="19">
        <f t="shared" ca="1" si="3"/>
        <v>0.56000000000000005</v>
      </c>
      <c r="AC18">
        <f t="shared" ca="1" si="4"/>
        <v>36.830860000000001</v>
      </c>
      <c r="AD18">
        <f t="shared" ca="1" si="5"/>
        <v>47.667099999999998</v>
      </c>
      <c r="AE18">
        <f t="shared" ca="1" si="6"/>
        <v>8370</v>
      </c>
      <c r="AF18">
        <f t="shared" ca="1" si="7"/>
        <v>36.837000000000003</v>
      </c>
      <c r="AI18" s="10" t="s">
        <v>40</v>
      </c>
      <c r="AJ18" t="str">
        <f t="shared" si="8"/>
        <v>BTR-80  #17</v>
      </c>
      <c r="AL18" s="10">
        <f t="shared" ca="1" si="9"/>
        <v>571</v>
      </c>
      <c r="AM18" s="10">
        <f t="shared" ca="1" si="10"/>
        <v>47.757100000000001</v>
      </c>
    </row>
    <row r="19" spans="1:39" x14ac:dyDescent="0.25">
      <c r="A19" s="10">
        <v>18</v>
      </c>
      <c r="B19" s="10" t="s">
        <v>62</v>
      </c>
      <c r="C19" s="10" t="s">
        <v>15</v>
      </c>
      <c r="D19" s="10" t="s">
        <v>18</v>
      </c>
      <c r="E19" s="11">
        <v>36.609699999999997</v>
      </c>
      <c r="F19" s="11">
        <v>47.669170000000001</v>
      </c>
      <c r="G19" s="12">
        <v>1.5E-3</v>
      </c>
      <c r="H19" s="13">
        <v>90</v>
      </c>
      <c r="I19" s="10">
        <v>100</v>
      </c>
      <c r="J19" s="10">
        <v>100</v>
      </c>
      <c r="K19" s="14">
        <v>0.4</v>
      </c>
      <c r="L19" s="10">
        <v>15</v>
      </c>
      <c r="M19" s="15">
        <v>0.6</v>
      </c>
      <c r="N19" s="10">
        <v>5</v>
      </c>
      <c r="O19" s="10">
        <v>10</v>
      </c>
      <c r="U19" s="20">
        <f t="shared" ca="1" si="0"/>
        <v>0.55000000000000004</v>
      </c>
      <c r="V19" s="20">
        <f t="shared" ca="1" si="0"/>
        <v>0.68</v>
      </c>
      <c r="W19" s="20">
        <f t="shared" ca="1" si="0"/>
        <v>0.74</v>
      </c>
      <c r="X19">
        <f t="shared" ca="1" si="1"/>
        <v>36.743479999999998</v>
      </c>
      <c r="Y19">
        <f t="shared" ca="1" si="2"/>
        <v>47.657119999999999</v>
      </c>
      <c r="Z19" s="19">
        <f t="shared" ca="1" si="3"/>
        <v>0.31</v>
      </c>
      <c r="AA19" s="19">
        <f t="shared" ca="1" si="3"/>
        <v>0.73</v>
      </c>
      <c r="AB19" s="19">
        <f t="shared" ca="1" si="3"/>
        <v>0.63</v>
      </c>
      <c r="AC19">
        <f t="shared" ca="1" si="4"/>
        <v>36.878160000000001</v>
      </c>
      <c r="AD19">
        <f t="shared" ca="1" si="5"/>
        <v>47.626910000000002</v>
      </c>
      <c r="AE19">
        <f t="shared" ca="1" si="6"/>
        <v>5798</v>
      </c>
      <c r="AF19">
        <f t="shared" ca="1" si="7"/>
        <v>36.579799999999999</v>
      </c>
      <c r="AI19" s="10" t="s">
        <v>41</v>
      </c>
      <c r="AJ19" t="str">
        <f t="shared" si="8"/>
        <v>Infantry Squad  #18</v>
      </c>
      <c r="AL19" s="10">
        <f t="shared" ca="1" si="9"/>
        <v>248</v>
      </c>
      <c r="AM19" s="10">
        <f t="shared" ca="1" si="10"/>
        <v>47.724800000000002</v>
      </c>
    </row>
    <row r="20" spans="1:39" x14ac:dyDescent="0.25">
      <c r="A20" s="10">
        <v>19</v>
      </c>
      <c r="B20" s="10" t="s">
        <v>63</v>
      </c>
      <c r="C20" s="10" t="s">
        <v>15</v>
      </c>
      <c r="D20" s="10" t="s">
        <v>18</v>
      </c>
      <c r="E20" s="11">
        <v>36.642060000000001</v>
      </c>
      <c r="F20" s="11">
        <v>47.657629999999997</v>
      </c>
      <c r="G20" s="12">
        <v>1.5E-3</v>
      </c>
      <c r="H20" s="13">
        <v>90</v>
      </c>
      <c r="I20" s="10">
        <v>100</v>
      </c>
      <c r="J20" s="10">
        <v>100</v>
      </c>
      <c r="K20" s="14">
        <v>0.4</v>
      </c>
      <c r="L20" s="10">
        <v>15</v>
      </c>
      <c r="M20" s="15">
        <v>0.6</v>
      </c>
      <c r="N20" s="10">
        <v>5</v>
      </c>
      <c r="O20" s="10">
        <v>10</v>
      </c>
      <c r="U20" s="20">
        <f t="shared" ca="1" si="0"/>
        <v>0.88</v>
      </c>
      <c r="V20" s="20">
        <f t="shared" ca="1" si="0"/>
        <v>0.32</v>
      </c>
      <c r="W20" s="20">
        <f t="shared" ca="1" si="0"/>
        <v>0.61</v>
      </c>
      <c r="X20">
        <f t="shared" ca="1" si="1"/>
        <v>36.691079999999999</v>
      </c>
      <c r="Y20">
        <f t="shared" ca="1" si="2"/>
        <v>47.655880000000003</v>
      </c>
      <c r="Z20" s="19">
        <f t="shared" ca="1" si="3"/>
        <v>0.08</v>
      </c>
      <c r="AA20" s="19">
        <f t="shared" ca="1" si="3"/>
        <v>0.02</v>
      </c>
      <c r="AB20" s="19">
        <f t="shared" ca="1" si="3"/>
        <v>0.67</v>
      </c>
      <c r="AC20">
        <f t="shared" ca="1" si="4"/>
        <v>36.771210000000004</v>
      </c>
      <c r="AD20">
        <f t="shared" ca="1" si="5"/>
        <v>47.60474</v>
      </c>
      <c r="AE20">
        <f t="shared" ca="1" si="6"/>
        <v>6090</v>
      </c>
      <c r="AF20">
        <f t="shared" ca="1" si="7"/>
        <v>36.609000000000002</v>
      </c>
      <c r="AI20" s="10" t="s">
        <v>41</v>
      </c>
      <c r="AJ20" t="str">
        <f t="shared" si="8"/>
        <v>Infantry Squad  #19</v>
      </c>
      <c r="AL20" s="10">
        <f t="shared" ca="1" si="9"/>
        <v>256</v>
      </c>
      <c r="AM20" s="10">
        <f t="shared" ca="1" si="10"/>
        <v>47.7256</v>
      </c>
    </row>
    <row r="21" spans="1:39" x14ac:dyDescent="0.25">
      <c r="A21" s="10">
        <v>20</v>
      </c>
      <c r="B21" s="10" t="s">
        <v>64</v>
      </c>
      <c r="C21" s="10" t="s">
        <v>15</v>
      </c>
      <c r="D21" s="10" t="s">
        <v>18</v>
      </c>
      <c r="E21" s="11">
        <v>36.747509999999998</v>
      </c>
      <c r="F21" s="11">
        <v>47.626240000000003</v>
      </c>
      <c r="G21" s="12">
        <v>1.5E-3</v>
      </c>
      <c r="H21" s="13">
        <v>90</v>
      </c>
      <c r="I21" s="10">
        <v>100</v>
      </c>
      <c r="J21" s="10">
        <v>100</v>
      </c>
      <c r="K21" s="14">
        <v>0.4</v>
      </c>
      <c r="L21" s="10">
        <v>15</v>
      </c>
      <c r="M21" s="15">
        <v>0.6</v>
      </c>
      <c r="N21" s="10">
        <v>5</v>
      </c>
      <c r="O21" s="10">
        <v>10</v>
      </c>
      <c r="U21" s="20">
        <f t="shared" ca="1" si="0"/>
        <v>0.56999999999999995</v>
      </c>
      <c r="V21" s="20">
        <f t="shared" ca="1" si="0"/>
        <v>0</v>
      </c>
      <c r="W21" s="20">
        <f t="shared" ca="1" si="0"/>
        <v>0.55000000000000004</v>
      </c>
      <c r="X21">
        <f t="shared" ca="1" si="1"/>
        <v>36.6</v>
      </c>
      <c r="Y21">
        <f t="shared" ca="1" si="2"/>
        <v>47.7</v>
      </c>
      <c r="Z21" s="19">
        <f t="shared" ca="1" si="3"/>
        <v>0.52</v>
      </c>
      <c r="AA21" s="19">
        <f t="shared" ca="1" si="3"/>
        <v>0.44</v>
      </c>
      <c r="AB21" s="19">
        <f t="shared" ca="1" si="3"/>
        <v>0.99</v>
      </c>
      <c r="AC21">
        <f t="shared" ca="1" si="4"/>
        <v>36.783830000000002</v>
      </c>
      <c r="AD21">
        <f t="shared" ca="1" si="5"/>
        <v>47.665999999999997</v>
      </c>
      <c r="AE21">
        <f t="shared" ca="1" si="6"/>
        <v>4990</v>
      </c>
      <c r="AF21">
        <f t="shared" ca="1" si="7"/>
        <v>36.499000000000002</v>
      </c>
      <c r="AI21" s="10" t="s">
        <v>41</v>
      </c>
      <c r="AJ21" t="str">
        <f t="shared" si="8"/>
        <v>Infantry Squad  #20</v>
      </c>
      <c r="AL21" s="10">
        <f t="shared" ca="1" si="9"/>
        <v>704</v>
      </c>
      <c r="AM21" s="10">
        <f t="shared" ca="1" si="10"/>
        <v>47.770400000000002</v>
      </c>
    </row>
    <row r="22" spans="1:39" x14ac:dyDescent="0.25">
      <c r="A22" s="10">
        <v>21</v>
      </c>
      <c r="B22" s="10" t="s">
        <v>65</v>
      </c>
      <c r="C22" s="10" t="s">
        <v>15</v>
      </c>
      <c r="D22" s="10" t="s">
        <v>16</v>
      </c>
      <c r="E22" s="11">
        <v>36.56691</v>
      </c>
      <c r="F22" s="11">
        <v>47.652909999999999</v>
      </c>
      <c r="G22" s="12">
        <v>2E-3</v>
      </c>
      <c r="H22" s="13">
        <v>90</v>
      </c>
      <c r="I22" s="10">
        <v>100</v>
      </c>
      <c r="J22" s="10">
        <v>100</v>
      </c>
      <c r="K22" s="14">
        <v>2.5</v>
      </c>
      <c r="L22" s="10">
        <v>80</v>
      </c>
      <c r="M22" s="15">
        <v>0.75</v>
      </c>
      <c r="N22" s="10">
        <v>80</v>
      </c>
      <c r="O22" s="10">
        <v>3</v>
      </c>
      <c r="U22" s="20">
        <f t="shared" ca="1" si="0"/>
        <v>0.08</v>
      </c>
      <c r="V22" s="20">
        <f t="shared" ca="1" si="0"/>
        <v>0.35</v>
      </c>
      <c r="W22" s="20">
        <f t="shared" ca="1" si="0"/>
        <v>0.72</v>
      </c>
      <c r="X22">
        <f t="shared" ca="1" si="1"/>
        <v>36.62603</v>
      </c>
      <c r="Y22">
        <f t="shared" ca="1" si="2"/>
        <v>47.598239999999997</v>
      </c>
      <c r="Z22" s="19">
        <f t="shared" ca="1" si="3"/>
        <v>0.25</v>
      </c>
      <c r="AA22" s="19">
        <f t="shared" ca="1" si="3"/>
        <v>0.03</v>
      </c>
      <c r="AB22" s="19">
        <f t="shared" ca="1" si="3"/>
        <v>0.9</v>
      </c>
      <c r="AC22">
        <f t="shared" ca="1" si="4"/>
        <v>36.775979999999997</v>
      </c>
      <c r="AD22">
        <f t="shared" ca="1" si="5"/>
        <v>47.607790000000001</v>
      </c>
      <c r="AE22">
        <f t="shared" ca="1" si="6"/>
        <v>2549</v>
      </c>
      <c r="AF22">
        <f t="shared" ca="1" si="7"/>
        <v>36.254899999999999</v>
      </c>
      <c r="AI22" s="10" t="s">
        <v>37</v>
      </c>
      <c r="AJ22" t="str">
        <f t="shared" si="8"/>
        <v>T-72B3 Tank  #21</v>
      </c>
      <c r="AL22" s="10">
        <f t="shared" ca="1" si="9"/>
        <v>836</v>
      </c>
      <c r="AM22" s="10">
        <f t="shared" ca="1" si="10"/>
        <v>47.7836</v>
      </c>
    </row>
    <row r="23" spans="1:39" x14ac:dyDescent="0.25">
      <c r="A23" s="10">
        <v>22</v>
      </c>
      <c r="B23" s="10" t="s">
        <v>66</v>
      </c>
      <c r="C23" s="10" t="s">
        <v>15</v>
      </c>
      <c r="D23" s="10" t="s">
        <v>16</v>
      </c>
      <c r="E23" s="11">
        <v>36.576459999999997</v>
      </c>
      <c r="F23" s="11">
        <v>47.646389999999997</v>
      </c>
      <c r="G23" s="12">
        <v>2E-3</v>
      </c>
      <c r="H23" s="13">
        <v>90</v>
      </c>
      <c r="I23" s="10">
        <v>100</v>
      </c>
      <c r="J23" s="10">
        <v>100</v>
      </c>
      <c r="K23" s="14">
        <v>2.5</v>
      </c>
      <c r="L23" s="10">
        <v>80</v>
      </c>
      <c r="M23" s="15">
        <v>0.75</v>
      </c>
      <c r="N23" s="10">
        <v>80</v>
      </c>
      <c r="O23" s="10">
        <v>3</v>
      </c>
      <c r="U23" s="20">
        <f t="shared" ca="1" si="0"/>
        <v>0.18</v>
      </c>
      <c r="V23" s="20">
        <f t="shared" ca="1" si="0"/>
        <v>0.34</v>
      </c>
      <c r="W23" s="20">
        <f t="shared" ca="1" si="0"/>
        <v>0.05</v>
      </c>
      <c r="X23">
        <f t="shared" ca="1" si="1"/>
        <v>36.547519999999999</v>
      </c>
      <c r="Y23">
        <f t="shared" ca="1" si="2"/>
        <v>47.638779999999997</v>
      </c>
      <c r="Z23" s="19">
        <f t="shared" ca="1" si="3"/>
        <v>0.51</v>
      </c>
      <c r="AA23" s="19">
        <f t="shared" ca="1" si="3"/>
        <v>0.54</v>
      </c>
      <c r="AB23" s="19">
        <f t="shared" ca="1" si="3"/>
        <v>0.41</v>
      </c>
      <c r="AC23">
        <f t="shared" ca="1" si="4"/>
        <v>36.830100000000002</v>
      </c>
      <c r="AD23">
        <f t="shared" ca="1" si="5"/>
        <v>47.651809999999998</v>
      </c>
      <c r="AE23">
        <f t="shared" ca="1" si="6"/>
        <v>8324</v>
      </c>
      <c r="AF23">
        <f t="shared" ca="1" si="7"/>
        <v>36.8324</v>
      </c>
      <c r="AI23" s="10" t="s">
        <v>37</v>
      </c>
      <c r="AJ23" t="str">
        <f t="shared" si="8"/>
        <v>T-72B3 Tank  #22</v>
      </c>
      <c r="AL23" s="10">
        <f t="shared" ca="1" si="9"/>
        <v>314</v>
      </c>
      <c r="AM23" s="10">
        <f t="shared" ca="1" si="10"/>
        <v>47.731400000000001</v>
      </c>
    </row>
    <row r="24" spans="1:39" x14ac:dyDescent="0.25">
      <c r="A24" s="10">
        <v>23</v>
      </c>
      <c r="B24" s="10" t="s">
        <v>67</v>
      </c>
      <c r="C24" s="10" t="s">
        <v>15</v>
      </c>
      <c r="D24" s="10" t="s">
        <v>16</v>
      </c>
      <c r="E24" s="11">
        <v>36.71942</v>
      </c>
      <c r="F24" s="11">
        <v>47.613889999999998</v>
      </c>
      <c r="G24" s="12">
        <v>2.5000000000000001E-3</v>
      </c>
      <c r="H24" s="13">
        <v>90</v>
      </c>
      <c r="I24" s="10">
        <v>110</v>
      </c>
      <c r="J24" s="10">
        <v>110</v>
      </c>
      <c r="K24" s="14">
        <v>2.8</v>
      </c>
      <c r="L24" s="10">
        <v>85</v>
      </c>
      <c r="M24" s="15">
        <v>0.78</v>
      </c>
      <c r="N24" s="10">
        <v>85</v>
      </c>
      <c r="O24" s="10">
        <v>3</v>
      </c>
      <c r="U24" s="20">
        <f t="shared" ca="1" si="0"/>
        <v>0.86</v>
      </c>
      <c r="V24" s="20">
        <f t="shared" ca="1" si="0"/>
        <v>0.83</v>
      </c>
      <c r="W24" s="20">
        <f t="shared" ca="1" si="0"/>
        <v>0.61</v>
      </c>
      <c r="X24">
        <f t="shared" ca="1" si="1"/>
        <v>36.746679999999998</v>
      </c>
      <c r="Y24">
        <f t="shared" ca="1" si="2"/>
        <v>47.62894</v>
      </c>
      <c r="Z24" s="19">
        <f t="shared" ca="1" si="3"/>
        <v>0.51</v>
      </c>
      <c r="AA24" s="19">
        <f t="shared" ca="1" si="3"/>
        <v>0.65</v>
      </c>
      <c r="AB24" s="19">
        <f t="shared" ca="1" si="3"/>
        <v>0.62</v>
      </c>
      <c r="AC24">
        <f t="shared" ca="1" si="4"/>
        <v>36.820950000000003</v>
      </c>
      <c r="AD24">
        <f t="shared" ca="1" si="5"/>
        <v>47.665300000000002</v>
      </c>
      <c r="AE24">
        <f t="shared" ca="1" si="6"/>
        <v>4450</v>
      </c>
      <c r="AF24">
        <f t="shared" ca="1" si="7"/>
        <v>36.445</v>
      </c>
      <c r="AI24" s="10" t="s">
        <v>38</v>
      </c>
      <c r="AJ24" t="str">
        <f t="shared" si="8"/>
        <v>T-80BVM Tank  #23</v>
      </c>
      <c r="AL24" s="10">
        <f t="shared" ca="1" si="9"/>
        <v>507</v>
      </c>
      <c r="AM24" s="10">
        <f t="shared" ca="1" si="10"/>
        <v>47.750700000000002</v>
      </c>
    </row>
    <row r="25" spans="1:39" x14ac:dyDescent="0.25">
      <c r="A25" s="10">
        <v>24</v>
      </c>
      <c r="B25" s="10" t="s">
        <v>68</v>
      </c>
      <c r="C25" s="10" t="s">
        <v>15</v>
      </c>
      <c r="D25" s="10" t="s">
        <v>16</v>
      </c>
      <c r="E25" s="11">
        <v>36.566780000000001</v>
      </c>
      <c r="F25" s="11">
        <v>47.603360000000002</v>
      </c>
      <c r="G25" s="12">
        <v>2E-3</v>
      </c>
      <c r="H25" s="13">
        <v>90</v>
      </c>
      <c r="I25" s="10">
        <v>100</v>
      </c>
      <c r="J25" s="10">
        <v>100</v>
      </c>
      <c r="K25" s="14">
        <v>2.5</v>
      </c>
      <c r="L25" s="10">
        <v>80</v>
      </c>
      <c r="M25" s="15">
        <v>0.75</v>
      </c>
      <c r="N25" s="10">
        <v>80</v>
      </c>
      <c r="O25" s="10">
        <v>3</v>
      </c>
      <c r="U25" s="20">
        <f t="shared" ca="1" si="0"/>
        <v>0.09</v>
      </c>
      <c r="V25" s="20">
        <f t="shared" ca="1" si="0"/>
        <v>0.76</v>
      </c>
      <c r="W25" s="20">
        <f t="shared" ca="1" si="0"/>
        <v>0.41</v>
      </c>
      <c r="X25">
        <f t="shared" ca="1" si="1"/>
        <v>36.584310000000002</v>
      </c>
      <c r="Y25">
        <f t="shared" ca="1" si="2"/>
        <v>47.577080000000002</v>
      </c>
      <c r="Z25" s="19">
        <f t="shared" ca="1" si="3"/>
        <v>0.11</v>
      </c>
      <c r="AA25" s="19">
        <f t="shared" ca="1" si="3"/>
        <v>0.45</v>
      </c>
      <c r="AB25" s="19">
        <f t="shared" ca="1" si="3"/>
        <v>0.71</v>
      </c>
      <c r="AC25">
        <f t="shared" ca="1" si="4"/>
        <v>36.850619999999999</v>
      </c>
      <c r="AD25">
        <f t="shared" ca="1" si="5"/>
        <v>47.623809999999999</v>
      </c>
      <c r="AE25">
        <f t="shared" ca="1" si="6"/>
        <v>8216</v>
      </c>
      <c r="AF25">
        <f t="shared" ca="1" si="7"/>
        <v>36.821599999999997</v>
      </c>
      <c r="AI25" s="10" t="s">
        <v>37</v>
      </c>
      <c r="AJ25" t="str">
        <f t="shared" si="8"/>
        <v>T-72B3 Tank  #24</v>
      </c>
      <c r="AL25" s="10">
        <f t="shared" ca="1" si="9"/>
        <v>218</v>
      </c>
      <c r="AM25" s="10">
        <f t="shared" ca="1" si="10"/>
        <v>47.721800000000002</v>
      </c>
    </row>
    <row r="26" spans="1:39" x14ac:dyDescent="0.25">
      <c r="A26" s="10">
        <v>25</v>
      </c>
      <c r="B26" s="10" t="s">
        <v>69</v>
      </c>
      <c r="C26" s="10" t="s">
        <v>15</v>
      </c>
      <c r="D26" s="10" t="s">
        <v>16</v>
      </c>
      <c r="E26" s="11">
        <v>36.713209999999997</v>
      </c>
      <c r="F26" s="11">
        <v>47.673439999999999</v>
      </c>
      <c r="G26" s="12">
        <v>2.5000000000000001E-3</v>
      </c>
      <c r="H26" s="13">
        <v>90</v>
      </c>
      <c r="I26" s="10">
        <v>110</v>
      </c>
      <c r="J26" s="10">
        <v>110</v>
      </c>
      <c r="K26" s="14">
        <v>2.8</v>
      </c>
      <c r="L26" s="10">
        <v>85</v>
      </c>
      <c r="M26" s="15">
        <v>0.78</v>
      </c>
      <c r="N26" s="10">
        <v>85</v>
      </c>
      <c r="O26" s="10">
        <v>3</v>
      </c>
      <c r="U26" s="20">
        <f t="shared" ca="1" si="0"/>
        <v>0.7</v>
      </c>
      <c r="V26" s="20">
        <f t="shared" ca="1" si="0"/>
        <v>0.5</v>
      </c>
      <c r="W26" s="20">
        <f t="shared" ca="1" si="0"/>
        <v>0.1</v>
      </c>
      <c r="X26">
        <f t="shared" ca="1" si="1"/>
        <v>36.677779999999998</v>
      </c>
      <c r="Y26">
        <f t="shared" ca="1" si="2"/>
        <v>47.572719999999997</v>
      </c>
      <c r="Z26" s="19">
        <f t="shared" ca="1" si="3"/>
        <v>0.54</v>
      </c>
      <c r="AA26" s="19">
        <f t="shared" ca="1" si="3"/>
        <v>0.93</v>
      </c>
      <c r="AB26" s="19">
        <f t="shared" ca="1" si="3"/>
        <v>0.44</v>
      </c>
      <c r="AC26">
        <f t="shared" ca="1" si="4"/>
        <v>36.852220000000003</v>
      </c>
      <c r="AD26">
        <f t="shared" ca="1" si="5"/>
        <v>47.669429999999998</v>
      </c>
      <c r="AE26">
        <f t="shared" ca="1" si="6"/>
        <v>5100</v>
      </c>
      <c r="AF26">
        <f t="shared" ca="1" si="7"/>
        <v>36.51</v>
      </c>
      <c r="AI26" s="10" t="s">
        <v>38</v>
      </c>
      <c r="AJ26" t="str">
        <f t="shared" si="8"/>
        <v>T-80BVM Tank  #25</v>
      </c>
      <c r="AL26" s="10">
        <f t="shared" ca="1" si="9"/>
        <v>683</v>
      </c>
      <c r="AM26" s="10">
        <f t="shared" ca="1" si="10"/>
        <v>47.768300000000004</v>
      </c>
    </row>
    <row r="27" spans="1:39" x14ac:dyDescent="0.25">
      <c r="A27" s="10">
        <v>26</v>
      </c>
      <c r="B27" s="10" t="s">
        <v>70</v>
      </c>
      <c r="C27" s="10" t="s">
        <v>15</v>
      </c>
      <c r="D27" s="10" t="s">
        <v>17</v>
      </c>
      <c r="E27" s="11">
        <v>36.604869999999998</v>
      </c>
      <c r="F27" s="11">
        <v>47.575699999999998</v>
      </c>
      <c r="G27" s="12">
        <v>3.0000000000000001E-3</v>
      </c>
      <c r="H27" s="13">
        <v>90</v>
      </c>
      <c r="I27" s="10">
        <v>60</v>
      </c>
      <c r="J27" s="10">
        <v>60</v>
      </c>
      <c r="K27" s="14">
        <v>1.5</v>
      </c>
      <c r="L27" s="10">
        <v>40</v>
      </c>
      <c r="M27" s="15">
        <v>0.7</v>
      </c>
      <c r="N27" s="10">
        <v>30</v>
      </c>
      <c r="O27" s="10">
        <v>7</v>
      </c>
      <c r="U27" s="20">
        <f t="shared" ca="1" si="0"/>
        <v>0.38</v>
      </c>
      <c r="V27" s="20">
        <f t="shared" ca="1" si="0"/>
        <v>0.03</v>
      </c>
      <c r="W27" s="20">
        <f t="shared" ca="1" si="0"/>
        <v>0.67</v>
      </c>
      <c r="X27">
        <f t="shared" ca="1" si="1"/>
        <v>36.605890000000002</v>
      </c>
      <c r="Y27">
        <f t="shared" ca="1" si="2"/>
        <v>47.67107</v>
      </c>
      <c r="Z27" s="19">
        <f t="shared" ca="1" si="3"/>
        <v>0.85</v>
      </c>
      <c r="AA27" s="19">
        <f t="shared" ca="1" si="3"/>
        <v>0.36</v>
      </c>
      <c r="AB27" s="19">
        <f t="shared" ca="1" si="3"/>
        <v>0.3</v>
      </c>
      <c r="AC27">
        <f t="shared" ca="1" si="4"/>
        <v>36.822000000000003</v>
      </c>
      <c r="AD27">
        <f t="shared" ca="1" si="5"/>
        <v>47.639000000000003</v>
      </c>
      <c r="AE27">
        <f t="shared" ca="1" si="6"/>
        <v>9219</v>
      </c>
      <c r="AF27">
        <f t="shared" ca="1" si="7"/>
        <v>36.921900000000001</v>
      </c>
      <c r="AI27" s="10" t="s">
        <v>39</v>
      </c>
      <c r="AJ27" t="str">
        <f t="shared" si="8"/>
        <v>BMP-2  #26</v>
      </c>
      <c r="AL27" s="10">
        <f t="shared" ca="1" si="9"/>
        <v>717</v>
      </c>
      <c r="AM27" s="10">
        <f t="shared" ca="1" si="10"/>
        <v>47.771700000000003</v>
      </c>
    </row>
    <row r="28" spans="1:39" x14ac:dyDescent="0.25">
      <c r="A28" s="10">
        <v>27</v>
      </c>
      <c r="B28" s="10" t="s">
        <v>71</v>
      </c>
      <c r="C28" s="10" t="s">
        <v>15</v>
      </c>
      <c r="D28" s="10" t="s">
        <v>17</v>
      </c>
      <c r="E28" s="11">
        <v>36.76587</v>
      </c>
      <c r="F28" s="11">
        <v>47.646000000000001</v>
      </c>
      <c r="G28" s="12">
        <v>3.0000000000000001E-3</v>
      </c>
      <c r="H28" s="13">
        <v>90</v>
      </c>
      <c r="I28" s="10">
        <v>60</v>
      </c>
      <c r="J28" s="10">
        <v>60</v>
      </c>
      <c r="K28" s="14">
        <v>1.5</v>
      </c>
      <c r="L28" s="10">
        <v>40</v>
      </c>
      <c r="M28" s="15">
        <v>0.7</v>
      </c>
      <c r="N28" s="10">
        <v>30</v>
      </c>
      <c r="O28" s="10">
        <v>7</v>
      </c>
      <c r="U28" s="20">
        <f t="shared" ca="1" si="0"/>
        <v>0.47</v>
      </c>
      <c r="V28" s="20">
        <f t="shared" ca="1" si="0"/>
        <v>0.03</v>
      </c>
      <c r="W28" s="20">
        <f t="shared" ca="1" si="0"/>
        <v>0.78</v>
      </c>
      <c r="X28">
        <f t="shared" ca="1" si="1"/>
        <v>36.630830000000003</v>
      </c>
      <c r="Y28">
        <f t="shared" ca="1" si="2"/>
        <v>47.69238</v>
      </c>
      <c r="Z28" s="19">
        <f t="shared" ca="1" si="3"/>
        <v>0.73</v>
      </c>
      <c r="AA28" s="19">
        <f t="shared" ca="1" si="3"/>
        <v>0.59</v>
      </c>
      <c r="AB28" s="19">
        <f t="shared" ca="1" si="3"/>
        <v>0.28000000000000003</v>
      </c>
      <c r="AC28">
        <f t="shared" ca="1" si="4"/>
        <v>36.843710000000002</v>
      </c>
      <c r="AD28">
        <f t="shared" ca="1" si="5"/>
        <v>47.649160000000002</v>
      </c>
      <c r="AE28">
        <f t="shared" ca="1" si="6"/>
        <v>5981</v>
      </c>
      <c r="AF28">
        <f t="shared" ca="1" si="7"/>
        <v>36.598100000000002</v>
      </c>
      <c r="AI28" s="10" t="s">
        <v>39</v>
      </c>
      <c r="AJ28" t="str">
        <f t="shared" si="8"/>
        <v>BMP-2  #27</v>
      </c>
      <c r="AL28" s="10">
        <f t="shared" ca="1" si="9"/>
        <v>17</v>
      </c>
      <c r="AM28" s="10">
        <f t="shared" ca="1" si="10"/>
        <v>47.701700000000002</v>
      </c>
    </row>
    <row r="29" spans="1:39" x14ac:dyDescent="0.25">
      <c r="A29" s="10">
        <v>28</v>
      </c>
      <c r="B29" s="10" t="s">
        <v>72</v>
      </c>
      <c r="C29" s="10" t="s">
        <v>15</v>
      </c>
      <c r="D29" s="10" t="s">
        <v>17</v>
      </c>
      <c r="E29" s="11">
        <v>36.564729999999997</v>
      </c>
      <c r="F29" s="11">
        <v>47.644150000000003</v>
      </c>
      <c r="G29" s="12">
        <v>3.5000000000000001E-3</v>
      </c>
      <c r="H29" s="13">
        <v>90</v>
      </c>
      <c r="I29" s="10">
        <v>50</v>
      </c>
      <c r="J29" s="10">
        <v>50</v>
      </c>
      <c r="K29" s="14">
        <v>1.2</v>
      </c>
      <c r="L29" s="10">
        <v>25</v>
      </c>
      <c r="M29" s="15">
        <v>0.65</v>
      </c>
      <c r="N29" s="10">
        <v>20</v>
      </c>
      <c r="O29" s="10">
        <v>8</v>
      </c>
      <c r="U29" s="20">
        <f t="shared" ca="1" si="0"/>
        <v>0.28000000000000003</v>
      </c>
      <c r="V29" s="20">
        <f t="shared" ca="1" si="0"/>
        <v>0.22</v>
      </c>
      <c r="W29" s="20">
        <f t="shared" ca="1" si="0"/>
        <v>0.18</v>
      </c>
      <c r="X29">
        <f t="shared" ca="1" si="1"/>
        <v>36.569980000000001</v>
      </c>
      <c r="Y29">
        <f t="shared" ca="1" si="2"/>
        <v>47.644649999999999</v>
      </c>
      <c r="Z29" s="19">
        <f t="shared" ca="1" si="3"/>
        <v>0.8</v>
      </c>
      <c r="AA29" s="19">
        <f t="shared" ca="1" si="3"/>
        <v>0.86</v>
      </c>
      <c r="AB29" s="19">
        <f t="shared" ca="1" si="3"/>
        <v>0.5</v>
      </c>
      <c r="AC29">
        <f t="shared" ca="1" si="4"/>
        <v>36.842739999999999</v>
      </c>
      <c r="AD29">
        <f t="shared" ca="1" si="5"/>
        <v>47.669550000000001</v>
      </c>
      <c r="AE29">
        <f t="shared" ca="1" si="6"/>
        <v>651</v>
      </c>
      <c r="AF29">
        <f t="shared" ca="1" si="7"/>
        <v>36.065100000000001</v>
      </c>
      <c r="AI29" s="10" t="s">
        <v>40</v>
      </c>
      <c r="AJ29" t="str">
        <f t="shared" si="8"/>
        <v>BTR-80  #28</v>
      </c>
      <c r="AL29" s="10">
        <f t="shared" ca="1" si="9"/>
        <v>781</v>
      </c>
      <c r="AM29" s="10">
        <f t="shared" ca="1" si="10"/>
        <v>47.778100000000002</v>
      </c>
    </row>
    <row r="30" spans="1:39" x14ac:dyDescent="0.25">
      <c r="A30" s="10">
        <v>29</v>
      </c>
      <c r="B30" s="10" t="s">
        <v>73</v>
      </c>
      <c r="C30" s="10" t="s">
        <v>15</v>
      </c>
      <c r="D30" s="10" t="s">
        <v>17</v>
      </c>
      <c r="E30" s="11">
        <v>36.792009999999998</v>
      </c>
      <c r="F30" s="11">
        <v>47.69415</v>
      </c>
      <c r="G30" s="12">
        <v>3.0000000000000001E-3</v>
      </c>
      <c r="H30" s="13">
        <v>90</v>
      </c>
      <c r="I30" s="10">
        <v>60</v>
      </c>
      <c r="J30" s="10">
        <v>60</v>
      </c>
      <c r="K30" s="14">
        <v>1.5</v>
      </c>
      <c r="L30" s="10">
        <v>40</v>
      </c>
      <c r="M30" s="15">
        <v>0.7</v>
      </c>
      <c r="N30" s="10">
        <v>30</v>
      </c>
      <c r="O30" s="10">
        <v>7</v>
      </c>
      <c r="U30" s="20">
        <f t="shared" ca="1" si="0"/>
        <v>0.63</v>
      </c>
      <c r="V30" s="20">
        <f t="shared" ca="1" si="0"/>
        <v>0.57999999999999996</v>
      </c>
      <c r="W30" s="20">
        <f t="shared" ca="1" si="0"/>
        <v>0.84</v>
      </c>
      <c r="X30">
        <f t="shared" ca="1" si="1"/>
        <v>36.740130000000001</v>
      </c>
      <c r="Y30">
        <f t="shared" ca="1" si="2"/>
        <v>47.675629999999998</v>
      </c>
      <c r="Z30" s="19">
        <f t="shared" ca="1" si="3"/>
        <v>0.12</v>
      </c>
      <c r="AA30" s="19">
        <f t="shared" ca="1" si="3"/>
        <v>0.99</v>
      </c>
      <c r="AB30" s="19">
        <f t="shared" ca="1" si="3"/>
        <v>0.94</v>
      </c>
      <c r="AC30">
        <f t="shared" ca="1" si="4"/>
        <v>36.899250000000002</v>
      </c>
      <c r="AD30">
        <f t="shared" ca="1" si="5"/>
        <v>47.64676</v>
      </c>
      <c r="AE30">
        <f t="shared" ca="1" si="6"/>
        <v>3353</v>
      </c>
      <c r="AF30">
        <f t="shared" ca="1" si="7"/>
        <v>36.335299999999997</v>
      </c>
      <c r="AI30" s="10" t="s">
        <v>39</v>
      </c>
      <c r="AJ30" t="str">
        <f t="shared" si="8"/>
        <v>BMP-2  #29</v>
      </c>
      <c r="AL30" s="10">
        <f t="shared" ca="1" si="9"/>
        <v>106</v>
      </c>
      <c r="AM30" s="10">
        <f t="shared" ca="1" si="10"/>
        <v>47.710599999999999</v>
      </c>
    </row>
    <row r="31" spans="1:39" x14ac:dyDescent="0.25">
      <c r="A31" s="10">
        <v>30</v>
      </c>
      <c r="B31" s="10" t="s">
        <v>74</v>
      </c>
      <c r="C31" s="10" t="s">
        <v>15</v>
      </c>
      <c r="D31" s="10" t="s">
        <v>17</v>
      </c>
      <c r="E31" s="11">
        <v>36.576700000000002</v>
      </c>
      <c r="F31" s="11">
        <v>47.602449999999997</v>
      </c>
      <c r="G31" s="12">
        <v>3.0000000000000001E-3</v>
      </c>
      <c r="H31" s="13">
        <v>90</v>
      </c>
      <c r="I31" s="10">
        <v>60</v>
      </c>
      <c r="J31" s="10">
        <v>60</v>
      </c>
      <c r="K31" s="14">
        <v>1.5</v>
      </c>
      <c r="L31" s="10">
        <v>40</v>
      </c>
      <c r="M31" s="15">
        <v>0.7</v>
      </c>
      <c r="N31" s="10">
        <v>30</v>
      </c>
      <c r="O31" s="10">
        <v>7</v>
      </c>
      <c r="U31" s="20">
        <f t="shared" ca="1" si="0"/>
        <v>0.01</v>
      </c>
      <c r="V31" s="20">
        <f t="shared" ca="1" si="0"/>
        <v>0.09</v>
      </c>
      <c r="W31" s="20">
        <f t="shared" ca="1" si="0"/>
        <v>0.16</v>
      </c>
      <c r="X31">
        <f t="shared" ca="1" si="1"/>
        <v>36.579599999999999</v>
      </c>
      <c r="Y31">
        <f t="shared" ca="1" si="2"/>
        <v>47.665199999999999</v>
      </c>
      <c r="Z31" s="19">
        <f t="shared" ca="1" si="3"/>
        <v>0.76</v>
      </c>
      <c r="AA31" s="19">
        <f t="shared" ca="1" si="3"/>
        <v>0.79</v>
      </c>
      <c r="AB31" s="19">
        <f t="shared" ca="1" si="3"/>
        <v>0.56000000000000005</v>
      </c>
      <c r="AC31">
        <f t="shared" ca="1" si="4"/>
        <v>36.833550000000002</v>
      </c>
      <c r="AD31">
        <f t="shared" ca="1" si="5"/>
        <v>47.669330000000002</v>
      </c>
      <c r="AE31">
        <f t="shared" ca="1" si="6"/>
        <v>6845</v>
      </c>
      <c r="AF31">
        <f t="shared" ca="1" si="7"/>
        <v>36.6845</v>
      </c>
      <c r="AI31" s="10" t="s">
        <v>39</v>
      </c>
      <c r="AJ31" t="str">
        <f t="shared" si="8"/>
        <v>BMP-2  #30</v>
      </c>
      <c r="AL31" s="10">
        <f t="shared" ca="1" si="9"/>
        <v>540</v>
      </c>
      <c r="AM31" s="10">
        <f t="shared" ca="1" si="10"/>
        <v>47.754000000000005</v>
      </c>
    </row>
    <row r="32" spans="1:39" x14ac:dyDescent="0.25">
      <c r="A32" s="10">
        <v>31</v>
      </c>
      <c r="B32" s="10" t="s">
        <v>75</v>
      </c>
      <c r="C32" s="10" t="s">
        <v>15</v>
      </c>
      <c r="D32" s="10" t="s">
        <v>17</v>
      </c>
      <c r="E32" s="11">
        <v>36.682479999999998</v>
      </c>
      <c r="F32" s="11">
        <v>47.52713</v>
      </c>
      <c r="G32" s="12">
        <v>3.5000000000000001E-3</v>
      </c>
      <c r="H32" s="13">
        <v>90</v>
      </c>
      <c r="I32" s="10">
        <v>50</v>
      </c>
      <c r="J32" s="10">
        <v>50</v>
      </c>
      <c r="K32" s="14">
        <v>1.2</v>
      </c>
      <c r="L32" s="10">
        <v>25</v>
      </c>
      <c r="M32" s="15">
        <v>0.65</v>
      </c>
      <c r="N32" s="10">
        <v>20</v>
      </c>
      <c r="O32" s="10">
        <v>8</v>
      </c>
      <c r="U32" s="20">
        <f t="shared" ca="1" si="0"/>
        <v>0.01</v>
      </c>
      <c r="V32" s="20">
        <f t="shared" ca="1" si="0"/>
        <v>0.96</v>
      </c>
      <c r="W32" s="20">
        <f t="shared" ca="1" si="0"/>
        <v>0.68</v>
      </c>
      <c r="X32">
        <f t="shared" ca="1" si="1"/>
        <v>36.635269999999998</v>
      </c>
      <c r="Y32">
        <f t="shared" ca="1" si="2"/>
        <v>47.53539</v>
      </c>
      <c r="Z32" s="19">
        <f t="shared" ca="1" si="3"/>
        <v>0.84</v>
      </c>
      <c r="AA32" s="19">
        <f t="shared" ca="1" si="3"/>
        <v>0.68</v>
      </c>
      <c r="AB32" s="19">
        <f t="shared" ca="1" si="3"/>
        <v>0.59</v>
      </c>
      <c r="AC32">
        <f t="shared" ca="1" si="4"/>
        <v>36.825040000000001</v>
      </c>
      <c r="AD32">
        <f t="shared" ca="1" si="5"/>
        <v>47.665559999999999</v>
      </c>
      <c r="AE32">
        <f t="shared" ca="1" si="6"/>
        <v>9920</v>
      </c>
      <c r="AF32">
        <f t="shared" ca="1" si="7"/>
        <v>36.991999999999997</v>
      </c>
      <c r="AI32" s="10" t="s">
        <v>40</v>
      </c>
      <c r="AJ32" t="str">
        <f t="shared" si="8"/>
        <v>BTR-80  #31</v>
      </c>
      <c r="AL32" s="10">
        <f t="shared" ca="1" si="9"/>
        <v>769</v>
      </c>
      <c r="AM32" s="10">
        <f t="shared" ca="1" si="10"/>
        <v>47.776900000000005</v>
      </c>
    </row>
    <row r="33" spans="1:39" x14ac:dyDescent="0.25">
      <c r="A33" s="10">
        <v>32</v>
      </c>
      <c r="B33" s="10" t="s">
        <v>76</v>
      </c>
      <c r="C33" s="10" t="s">
        <v>15</v>
      </c>
      <c r="D33" s="10" t="s">
        <v>17</v>
      </c>
      <c r="E33" s="11">
        <v>36.629240000000003</v>
      </c>
      <c r="F33" s="11">
        <v>47.539180000000002</v>
      </c>
      <c r="G33" s="12">
        <v>3.0000000000000001E-3</v>
      </c>
      <c r="H33" s="13">
        <v>90</v>
      </c>
      <c r="I33" s="10">
        <v>60</v>
      </c>
      <c r="J33" s="10">
        <v>60</v>
      </c>
      <c r="K33" s="14">
        <v>1.5</v>
      </c>
      <c r="L33" s="10">
        <v>40</v>
      </c>
      <c r="M33" s="15">
        <v>0.7</v>
      </c>
      <c r="N33" s="10">
        <v>30</v>
      </c>
      <c r="O33" s="10">
        <v>7</v>
      </c>
      <c r="U33" s="20">
        <f t="shared" ca="1" si="0"/>
        <v>0.63</v>
      </c>
      <c r="V33" s="20">
        <f t="shared" ca="1" si="0"/>
        <v>0.22</v>
      </c>
      <c r="W33" s="20">
        <f t="shared" ca="1" si="0"/>
        <v>0.41</v>
      </c>
      <c r="X33">
        <f t="shared" ref="X33:X96" ca="1" si="11">ROUND(IF(U33 &lt; $T$9,
 (1-SQRT(V33))*$T$3 + SQRT(V33)*(1-W33)*$T$4 + SQRT(V33)*W33*$T$5,
 (1-SQRT(V33))*$T$3 + SQRT(V33)*(1-W33)*$T$5 + SQRT(V33)*W33*$T$6
)/100,5)</f>
        <v>36.666130000000003</v>
      </c>
      <c r="Y33">
        <f t="shared" ref="Y33:Y96" ca="1" si="12">ROUND(IF(U33&lt;$T$9,(1-SQRT(V33))*$S$3+SQRT(V33)*(1-W33)*$S$4+SQRT(V33)*W33*$S$5,(1-SQRT(V33))*$S$3+SQRT(V33)*(1-W33)*$S$5+SQRT(V33)*W33*$S$6)/100,5)</f>
        <v>47.644649999999999</v>
      </c>
      <c r="Z33" s="19">
        <f t="shared" ca="1" si="3"/>
        <v>0.9</v>
      </c>
      <c r="AA33" s="19">
        <f t="shared" ca="1" si="3"/>
        <v>0.52</v>
      </c>
      <c r="AB33" s="19">
        <f t="shared" ca="1" si="3"/>
        <v>0.95</v>
      </c>
      <c r="AC33">
        <f t="shared" ref="AC33:AC96" ca="1" si="13">ROUND(IF(Z33 &lt; $T$18,
 (1-SQRT(AA33))*$T$12 + SQRT(AA33)*(1-AB33)*$T$13 + SQRT(AA33)*AB33*$T$14,
 (1-SQRT(AA33))*$T$12 + SQRT(AA33)*(1-AB33)*$T$14 + SQRT(AA33)*AB33*$T$15
)/100,5)</f>
        <v>36.789659999999998</v>
      </c>
      <c r="AD33">
        <f t="shared" ref="AD33:AD96" ca="1" si="14">ROUND(IF(Z33&lt;$T$18,
(1-SQRT(AA33))*$S$12+SQRT(AA33)*(1-AB33)*$S$13+SQRT(AA33)*AB33*$S$14,
(1-SQRT(AA33))*$S$12+SQRT(AA33)*(1-AB33)*$S$14+SQRT(AA33)*AB33*$S$15)/100,5)</f>
        <v>47.670310000000001</v>
      </c>
      <c r="AE33">
        <f t="shared" ca="1" si="6"/>
        <v>7999</v>
      </c>
      <c r="AF33">
        <f t="shared" ca="1" si="7"/>
        <v>36.799900000000001</v>
      </c>
      <c r="AI33" s="10" t="s">
        <v>39</v>
      </c>
      <c r="AJ33" t="str">
        <f t="shared" si="8"/>
        <v>BMP-2  #32</v>
      </c>
      <c r="AL33" s="10">
        <f t="shared" ca="1" si="9"/>
        <v>895</v>
      </c>
      <c r="AM33" s="10">
        <f t="shared" ca="1" si="10"/>
        <v>47.789500000000004</v>
      </c>
    </row>
    <row r="34" spans="1:39" x14ac:dyDescent="0.25">
      <c r="A34" s="10">
        <v>33</v>
      </c>
      <c r="B34" s="10" t="s">
        <v>77</v>
      </c>
      <c r="C34" s="10" t="s">
        <v>15</v>
      </c>
      <c r="D34" s="10" t="s">
        <v>17</v>
      </c>
      <c r="E34" s="11">
        <v>36.683489999999999</v>
      </c>
      <c r="F34" s="11">
        <v>47.539569999999998</v>
      </c>
      <c r="G34" s="12">
        <v>3.0000000000000001E-3</v>
      </c>
      <c r="H34" s="13">
        <v>90</v>
      </c>
      <c r="I34" s="10">
        <v>60</v>
      </c>
      <c r="J34" s="10">
        <v>60</v>
      </c>
      <c r="K34" s="14">
        <v>1.5</v>
      </c>
      <c r="L34" s="10">
        <v>40</v>
      </c>
      <c r="M34" s="15">
        <v>0.7</v>
      </c>
      <c r="N34" s="10">
        <v>30</v>
      </c>
      <c r="O34" s="10">
        <v>7</v>
      </c>
      <c r="U34" s="20">
        <f t="shared" ref="U34:W97" ca="1" si="15">RANDBETWEEN(0,100)/100</f>
        <v>0.45</v>
      </c>
      <c r="V34" s="20">
        <f t="shared" ca="1" si="15"/>
        <v>0.34</v>
      </c>
      <c r="W34" s="20">
        <f t="shared" ca="1" si="15"/>
        <v>0.26</v>
      </c>
      <c r="X34">
        <f t="shared" ca="1" si="11"/>
        <v>36.673470000000002</v>
      </c>
      <c r="Y34">
        <f t="shared" ca="1" si="12"/>
        <v>47.613700000000001</v>
      </c>
      <c r="Z34" s="19">
        <f t="shared" ref="Z34:AB97" ca="1" si="16">RANDBETWEEN(0,100)/100</f>
        <v>0.96</v>
      </c>
      <c r="AA34" s="19">
        <f t="shared" ca="1" si="16"/>
        <v>0.45</v>
      </c>
      <c r="AB34" s="19">
        <f t="shared" ca="1" si="16"/>
        <v>0.51</v>
      </c>
      <c r="AC34">
        <f t="shared" ca="1" si="13"/>
        <v>36.816409999999998</v>
      </c>
      <c r="AD34">
        <f t="shared" ca="1" si="14"/>
        <v>47.650649999999999</v>
      </c>
      <c r="AE34">
        <f t="shared" ca="1" si="6"/>
        <v>8117</v>
      </c>
      <c r="AF34">
        <f t="shared" ca="1" si="7"/>
        <v>36.811700000000002</v>
      </c>
      <c r="AI34" s="10" t="s">
        <v>39</v>
      </c>
      <c r="AJ34" t="str">
        <f t="shared" si="8"/>
        <v>BMP-2  #33</v>
      </c>
      <c r="AL34" s="10">
        <f t="shared" ca="1" si="9"/>
        <v>530</v>
      </c>
      <c r="AM34" s="10">
        <f t="shared" ca="1" si="10"/>
        <v>47.753</v>
      </c>
    </row>
    <row r="35" spans="1:39" x14ac:dyDescent="0.25">
      <c r="A35" s="10">
        <v>34</v>
      </c>
      <c r="B35" s="10" t="s">
        <v>78</v>
      </c>
      <c r="C35" s="10" t="s">
        <v>15</v>
      </c>
      <c r="D35" s="10" t="s">
        <v>17</v>
      </c>
      <c r="E35" s="11">
        <v>36.714489999999998</v>
      </c>
      <c r="F35" s="11">
        <v>47.587220000000002</v>
      </c>
      <c r="G35" s="12">
        <v>3.5000000000000001E-3</v>
      </c>
      <c r="H35" s="13">
        <v>90</v>
      </c>
      <c r="I35" s="10">
        <v>50</v>
      </c>
      <c r="J35" s="10">
        <v>50</v>
      </c>
      <c r="K35" s="14">
        <v>1.2</v>
      </c>
      <c r="L35" s="10">
        <v>25</v>
      </c>
      <c r="M35" s="15">
        <v>0.65</v>
      </c>
      <c r="N35" s="10">
        <v>20</v>
      </c>
      <c r="O35" s="10">
        <v>8</v>
      </c>
      <c r="U35" s="20">
        <f t="shared" ca="1" si="15"/>
        <v>0.89</v>
      </c>
      <c r="V35" s="20">
        <f t="shared" ca="1" si="15"/>
        <v>0.66</v>
      </c>
      <c r="W35" s="20">
        <f t="shared" ca="1" si="15"/>
        <v>0.79</v>
      </c>
      <c r="X35">
        <f t="shared" ca="1" si="11"/>
        <v>36.745420000000003</v>
      </c>
      <c r="Y35">
        <f t="shared" ca="1" si="12"/>
        <v>47.665880000000001</v>
      </c>
      <c r="Z35" s="19">
        <f t="shared" ca="1" si="16"/>
        <v>0.2</v>
      </c>
      <c r="AA35" s="19">
        <f t="shared" ca="1" si="16"/>
        <v>0.32</v>
      </c>
      <c r="AB35" s="19">
        <f t="shared" ca="1" si="16"/>
        <v>0.41</v>
      </c>
      <c r="AC35">
        <f t="shared" ca="1" si="13"/>
        <v>36.834850000000003</v>
      </c>
      <c r="AD35">
        <f t="shared" ca="1" si="14"/>
        <v>47.611600000000003</v>
      </c>
      <c r="AE35">
        <f t="shared" ca="1" si="6"/>
        <v>7569</v>
      </c>
      <c r="AF35">
        <f t="shared" ca="1" si="7"/>
        <v>36.756900000000002</v>
      </c>
      <c r="AI35" s="10" t="s">
        <v>40</v>
      </c>
      <c r="AJ35" t="str">
        <f t="shared" si="8"/>
        <v>BTR-80  #34</v>
      </c>
      <c r="AL35" s="10">
        <f t="shared" ca="1" si="9"/>
        <v>827</v>
      </c>
      <c r="AM35" s="10">
        <f t="shared" ca="1" si="10"/>
        <v>47.782700000000006</v>
      </c>
    </row>
    <row r="36" spans="1:39" x14ac:dyDescent="0.25">
      <c r="A36" s="10">
        <v>35</v>
      </c>
      <c r="B36" s="10" t="s">
        <v>79</v>
      </c>
      <c r="C36" s="10" t="s">
        <v>15</v>
      </c>
      <c r="D36" s="10" t="s">
        <v>17</v>
      </c>
      <c r="E36" s="11">
        <v>36.57311</v>
      </c>
      <c r="F36" s="11">
        <v>47.617400000000004</v>
      </c>
      <c r="G36" s="12">
        <v>3.0000000000000001E-3</v>
      </c>
      <c r="H36" s="13">
        <v>90</v>
      </c>
      <c r="I36" s="10">
        <v>60</v>
      </c>
      <c r="J36" s="10">
        <v>60</v>
      </c>
      <c r="K36" s="14">
        <v>1.5</v>
      </c>
      <c r="L36" s="10">
        <v>40</v>
      </c>
      <c r="M36" s="15">
        <v>0.7</v>
      </c>
      <c r="N36" s="10">
        <v>30</v>
      </c>
      <c r="O36" s="10">
        <v>7</v>
      </c>
      <c r="U36" s="20">
        <f t="shared" ca="1" si="15"/>
        <v>0.66</v>
      </c>
      <c r="V36" s="20">
        <f t="shared" ca="1" si="15"/>
        <v>0.02</v>
      </c>
      <c r="W36" s="20">
        <f t="shared" ca="1" si="15"/>
        <v>0.99</v>
      </c>
      <c r="X36">
        <f t="shared" ca="1" si="11"/>
        <v>36.628140000000002</v>
      </c>
      <c r="Y36">
        <f t="shared" ca="1" si="12"/>
        <v>47.699719999999999</v>
      </c>
      <c r="Z36" s="19">
        <f t="shared" ca="1" si="16"/>
        <v>0.31</v>
      </c>
      <c r="AA36" s="19">
        <f t="shared" ca="1" si="16"/>
        <v>0.62</v>
      </c>
      <c r="AB36" s="19">
        <f t="shared" ca="1" si="16"/>
        <v>0.55000000000000004</v>
      </c>
      <c r="AC36">
        <f t="shared" ca="1" si="13"/>
        <v>36.868110000000001</v>
      </c>
      <c r="AD36">
        <f t="shared" ca="1" si="14"/>
        <v>47.621650000000002</v>
      </c>
      <c r="AE36">
        <f t="shared" ca="1" si="6"/>
        <v>6423</v>
      </c>
      <c r="AF36">
        <f t="shared" ca="1" si="7"/>
        <v>36.642299999999999</v>
      </c>
      <c r="AI36" s="10" t="s">
        <v>39</v>
      </c>
      <c r="AJ36" t="str">
        <f t="shared" si="8"/>
        <v>BMP-2  #35</v>
      </c>
      <c r="AL36" s="10">
        <f t="shared" ca="1" si="9"/>
        <v>366</v>
      </c>
      <c r="AM36" s="10">
        <f t="shared" ca="1" si="10"/>
        <v>47.736600000000003</v>
      </c>
    </row>
    <row r="37" spans="1:39" x14ac:dyDescent="0.25">
      <c r="A37" s="10">
        <v>36</v>
      </c>
      <c r="B37" s="10" t="s">
        <v>80</v>
      </c>
      <c r="C37" s="10" t="s">
        <v>15</v>
      </c>
      <c r="D37" s="10" t="s">
        <v>17</v>
      </c>
      <c r="E37" s="11">
        <v>36.689500000000002</v>
      </c>
      <c r="F37" s="11">
        <v>47.528010000000002</v>
      </c>
      <c r="G37" s="12">
        <v>3.0000000000000001E-3</v>
      </c>
      <c r="H37" s="13">
        <v>90</v>
      </c>
      <c r="I37" s="10">
        <v>60</v>
      </c>
      <c r="J37" s="10">
        <v>60</v>
      </c>
      <c r="K37" s="14">
        <v>1.5</v>
      </c>
      <c r="L37" s="10">
        <v>40</v>
      </c>
      <c r="M37" s="15">
        <v>0.7</v>
      </c>
      <c r="N37" s="10">
        <v>30</v>
      </c>
      <c r="O37" s="10">
        <v>7</v>
      </c>
      <c r="U37" s="20">
        <f t="shared" ca="1" si="15"/>
        <v>0.33</v>
      </c>
      <c r="V37" s="20">
        <f t="shared" ca="1" si="15"/>
        <v>0.13</v>
      </c>
      <c r="W37" s="20">
        <f t="shared" ca="1" si="15"/>
        <v>0.53</v>
      </c>
      <c r="X37">
        <f t="shared" ca="1" si="11"/>
        <v>36.602159999999998</v>
      </c>
      <c r="Y37">
        <f t="shared" ca="1" si="12"/>
        <v>47.644840000000002</v>
      </c>
      <c r="Z37" s="19">
        <f t="shared" ca="1" si="16"/>
        <v>0.57999999999999996</v>
      </c>
      <c r="AA37" s="19">
        <f t="shared" ca="1" si="16"/>
        <v>0.59</v>
      </c>
      <c r="AB37" s="19">
        <f t="shared" ca="1" si="16"/>
        <v>0.24</v>
      </c>
      <c r="AC37">
        <f t="shared" ca="1" si="13"/>
        <v>36.846780000000003</v>
      </c>
      <c r="AD37">
        <f t="shared" ca="1" si="14"/>
        <v>47.647620000000003</v>
      </c>
      <c r="AE37">
        <f t="shared" ca="1" si="6"/>
        <v>6592</v>
      </c>
      <c r="AF37">
        <f t="shared" ca="1" si="7"/>
        <v>36.659199999999998</v>
      </c>
      <c r="AI37" s="10" t="s">
        <v>39</v>
      </c>
      <c r="AJ37" t="str">
        <f t="shared" si="8"/>
        <v>BMP-2  #36</v>
      </c>
      <c r="AL37" s="10">
        <f t="shared" ca="1" si="9"/>
        <v>787</v>
      </c>
      <c r="AM37" s="10">
        <f t="shared" ca="1" si="10"/>
        <v>47.778700000000001</v>
      </c>
    </row>
    <row r="38" spans="1:39" x14ac:dyDescent="0.25">
      <c r="A38" s="10">
        <v>37</v>
      </c>
      <c r="B38" s="10" t="s">
        <v>81</v>
      </c>
      <c r="C38" s="10" t="s">
        <v>15</v>
      </c>
      <c r="D38" s="10" t="s">
        <v>17</v>
      </c>
      <c r="E38" s="11">
        <v>36.615380000000002</v>
      </c>
      <c r="F38" s="11">
        <v>47.603569999999998</v>
      </c>
      <c r="G38" s="12">
        <v>3.5000000000000001E-3</v>
      </c>
      <c r="H38" s="13">
        <v>90</v>
      </c>
      <c r="I38" s="10">
        <v>50</v>
      </c>
      <c r="J38" s="10">
        <v>50</v>
      </c>
      <c r="K38" s="14">
        <v>1.2</v>
      </c>
      <c r="L38" s="10">
        <v>25</v>
      </c>
      <c r="M38" s="15">
        <v>0.65</v>
      </c>
      <c r="N38" s="10">
        <v>20</v>
      </c>
      <c r="O38" s="10">
        <v>8</v>
      </c>
      <c r="U38" s="20">
        <f t="shared" ca="1" si="15"/>
        <v>0.86</v>
      </c>
      <c r="V38" s="20">
        <f t="shared" ca="1" si="15"/>
        <v>0.51</v>
      </c>
      <c r="W38" s="20">
        <f t="shared" ca="1" si="15"/>
        <v>0.06</v>
      </c>
      <c r="X38">
        <f t="shared" ca="1" si="11"/>
        <v>36.675699999999999</v>
      </c>
      <c r="Y38">
        <f t="shared" ca="1" si="12"/>
        <v>47.565739999999998</v>
      </c>
      <c r="Z38" s="19">
        <f t="shared" ca="1" si="16"/>
        <v>0.11</v>
      </c>
      <c r="AA38" s="19">
        <f t="shared" ca="1" si="16"/>
        <v>0.79</v>
      </c>
      <c r="AB38" s="19">
        <f t="shared" ca="1" si="16"/>
        <v>1</v>
      </c>
      <c r="AC38">
        <f t="shared" ca="1" si="13"/>
        <v>36.883319999999998</v>
      </c>
      <c r="AD38">
        <f t="shared" ca="1" si="14"/>
        <v>47.644440000000003</v>
      </c>
      <c r="AE38">
        <f t="shared" ca="1" si="6"/>
        <v>2243</v>
      </c>
      <c r="AF38">
        <f t="shared" ca="1" si="7"/>
        <v>36.224299999999999</v>
      </c>
      <c r="AI38" s="10" t="s">
        <v>40</v>
      </c>
      <c r="AJ38" t="str">
        <f t="shared" si="8"/>
        <v>BTR-80  #37</v>
      </c>
      <c r="AL38" s="10">
        <f t="shared" ca="1" si="9"/>
        <v>672</v>
      </c>
      <c r="AM38" s="10">
        <f t="shared" ca="1" si="10"/>
        <v>47.767200000000003</v>
      </c>
    </row>
    <row r="39" spans="1:39" x14ac:dyDescent="0.25">
      <c r="A39" s="10">
        <v>38</v>
      </c>
      <c r="B39" s="10" t="s">
        <v>82</v>
      </c>
      <c r="C39" s="10" t="s">
        <v>15</v>
      </c>
      <c r="D39" s="10" t="s">
        <v>18</v>
      </c>
      <c r="E39" s="11">
        <v>36.757899999999999</v>
      </c>
      <c r="F39" s="11">
        <v>47.625920000000001</v>
      </c>
      <c r="G39" s="12">
        <v>1.5E-3</v>
      </c>
      <c r="H39" s="13">
        <v>90</v>
      </c>
      <c r="I39" s="10">
        <v>100</v>
      </c>
      <c r="J39" s="10">
        <v>100</v>
      </c>
      <c r="K39" s="14">
        <v>0.4</v>
      </c>
      <c r="L39" s="10">
        <v>15</v>
      </c>
      <c r="M39" s="15">
        <v>0.6</v>
      </c>
      <c r="N39" s="10">
        <v>5</v>
      </c>
      <c r="O39" s="10">
        <v>10</v>
      </c>
      <c r="U39" s="20">
        <f t="shared" ca="1" si="15"/>
        <v>0.23</v>
      </c>
      <c r="V39" s="20">
        <f t="shared" ca="1" si="15"/>
        <v>0.23</v>
      </c>
      <c r="W39" s="20">
        <f t="shared" ca="1" si="15"/>
        <v>0.53</v>
      </c>
      <c r="X39">
        <f t="shared" ca="1" si="11"/>
        <v>36.602879999999999</v>
      </c>
      <c r="Y39">
        <f t="shared" ca="1" si="12"/>
        <v>47.626620000000003</v>
      </c>
      <c r="Z39" s="19">
        <f t="shared" ca="1" si="16"/>
        <v>0.27</v>
      </c>
      <c r="AA39" s="19">
        <f t="shared" ca="1" si="16"/>
        <v>0.14000000000000001</v>
      </c>
      <c r="AB39" s="19">
        <f t="shared" ca="1" si="16"/>
        <v>0.74</v>
      </c>
      <c r="AC39">
        <f t="shared" ca="1" si="13"/>
        <v>36.80612</v>
      </c>
      <c r="AD39">
        <f t="shared" ca="1" si="14"/>
        <v>47.613840000000003</v>
      </c>
      <c r="AE39">
        <f t="shared" ca="1" si="6"/>
        <v>3903</v>
      </c>
      <c r="AF39">
        <f t="shared" ca="1" si="7"/>
        <v>36.390300000000003</v>
      </c>
      <c r="AI39" s="10" t="s">
        <v>41</v>
      </c>
      <c r="AJ39" t="str">
        <f t="shared" si="8"/>
        <v>Infantry Squad  #38</v>
      </c>
      <c r="AL39" s="10">
        <f t="shared" ca="1" si="9"/>
        <v>116</v>
      </c>
      <c r="AM39" s="10">
        <f t="shared" ca="1" si="10"/>
        <v>47.711600000000004</v>
      </c>
    </row>
    <row r="40" spans="1:39" x14ac:dyDescent="0.25">
      <c r="A40" s="10">
        <v>39</v>
      </c>
      <c r="B40" s="10" t="s">
        <v>83</v>
      </c>
      <c r="C40" s="10" t="s">
        <v>15</v>
      </c>
      <c r="D40" s="10" t="s">
        <v>18</v>
      </c>
      <c r="E40" s="11">
        <v>36.686059999999998</v>
      </c>
      <c r="F40" s="11">
        <v>47.567489999999999</v>
      </c>
      <c r="G40" s="12">
        <v>1.5E-3</v>
      </c>
      <c r="H40" s="13">
        <v>90</v>
      </c>
      <c r="I40" s="10">
        <v>100</v>
      </c>
      <c r="J40" s="10">
        <v>100</v>
      </c>
      <c r="K40" s="14">
        <v>0.4</v>
      </c>
      <c r="L40" s="10">
        <v>15</v>
      </c>
      <c r="M40" s="15">
        <v>0.6</v>
      </c>
      <c r="N40" s="10">
        <v>5</v>
      </c>
      <c r="O40" s="10">
        <v>10</v>
      </c>
      <c r="U40" s="20">
        <f t="shared" ca="1" si="15"/>
        <v>0.51</v>
      </c>
      <c r="V40" s="20">
        <f t="shared" ca="1" si="15"/>
        <v>0.53</v>
      </c>
      <c r="W40" s="20">
        <f t="shared" ca="1" si="15"/>
        <v>0.91</v>
      </c>
      <c r="X40">
        <f t="shared" ca="1" si="11"/>
        <v>36.739049999999999</v>
      </c>
      <c r="Y40">
        <f t="shared" ca="1" si="12"/>
        <v>47.686900000000001</v>
      </c>
      <c r="Z40" s="19">
        <f t="shared" ca="1" si="16"/>
        <v>0.06</v>
      </c>
      <c r="AA40" s="19">
        <f t="shared" ca="1" si="16"/>
        <v>0.49</v>
      </c>
      <c r="AB40" s="19">
        <f t="shared" ca="1" si="16"/>
        <v>0.91</v>
      </c>
      <c r="AC40">
        <f t="shared" ca="1" si="13"/>
        <v>36.854999999999997</v>
      </c>
      <c r="AD40">
        <f t="shared" ca="1" si="14"/>
        <v>47.63185</v>
      </c>
      <c r="AE40">
        <f t="shared" ca="1" si="6"/>
        <v>5727</v>
      </c>
      <c r="AF40">
        <f t="shared" ca="1" si="7"/>
        <v>36.572699999999998</v>
      </c>
      <c r="AI40" s="10" t="s">
        <v>41</v>
      </c>
      <c r="AJ40" t="str">
        <f t="shared" si="8"/>
        <v>Infantry Squad  #39</v>
      </c>
      <c r="AL40" s="10">
        <f t="shared" ca="1" si="9"/>
        <v>404</v>
      </c>
      <c r="AM40" s="10">
        <f t="shared" ca="1" si="10"/>
        <v>47.740400000000001</v>
      </c>
    </row>
    <row r="41" spans="1:39" x14ac:dyDescent="0.25">
      <c r="A41" s="10">
        <v>40</v>
      </c>
      <c r="B41" s="10" t="s">
        <v>84</v>
      </c>
      <c r="C41" s="10" t="s">
        <v>15</v>
      </c>
      <c r="D41" s="10" t="s">
        <v>18</v>
      </c>
      <c r="E41" s="11">
        <v>36.700670000000002</v>
      </c>
      <c r="F41" s="11">
        <v>47.607410000000002</v>
      </c>
      <c r="G41" s="12">
        <v>1.5E-3</v>
      </c>
      <c r="H41" s="13">
        <v>90</v>
      </c>
      <c r="I41" s="10">
        <v>100</v>
      </c>
      <c r="J41" s="10">
        <v>100</v>
      </c>
      <c r="K41" s="14">
        <v>0.4</v>
      </c>
      <c r="L41" s="10">
        <v>15</v>
      </c>
      <c r="M41" s="15">
        <v>0.6</v>
      </c>
      <c r="N41" s="10">
        <v>5</v>
      </c>
      <c r="O41" s="10">
        <v>10</v>
      </c>
      <c r="U41" s="20">
        <f t="shared" ca="1" si="15"/>
        <v>0.73</v>
      </c>
      <c r="V41" s="20">
        <f t="shared" ca="1" si="15"/>
        <v>0.06</v>
      </c>
      <c r="W41" s="20">
        <f t="shared" ca="1" si="15"/>
        <v>0.92</v>
      </c>
      <c r="X41">
        <f t="shared" ca="1" si="11"/>
        <v>36.647030000000001</v>
      </c>
      <c r="Y41">
        <f t="shared" ca="1" si="12"/>
        <v>47.696080000000002</v>
      </c>
      <c r="Z41" s="19">
        <f t="shared" ca="1" si="16"/>
        <v>0.82</v>
      </c>
      <c r="AA41" s="19">
        <f t="shared" ca="1" si="16"/>
        <v>0.48</v>
      </c>
      <c r="AB41" s="19">
        <f t="shared" ca="1" si="16"/>
        <v>0.92</v>
      </c>
      <c r="AC41">
        <f t="shared" ca="1" si="13"/>
        <v>36.790179999999999</v>
      </c>
      <c r="AD41">
        <f t="shared" ca="1" si="14"/>
        <v>47.666510000000002</v>
      </c>
      <c r="AE41">
        <f t="shared" ca="1" si="6"/>
        <v>9165</v>
      </c>
      <c r="AF41">
        <f t="shared" ca="1" si="7"/>
        <v>36.916499999999999</v>
      </c>
      <c r="AI41" s="10" t="s">
        <v>41</v>
      </c>
      <c r="AJ41" t="str">
        <f t="shared" si="8"/>
        <v>Infantry Squad  #40</v>
      </c>
      <c r="AL41" s="10">
        <f t="shared" ca="1" si="9"/>
        <v>477</v>
      </c>
      <c r="AM41" s="10">
        <f t="shared" ca="1" si="10"/>
        <v>47.747700000000002</v>
      </c>
    </row>
    <row r="42" spans="1:39" x14ac:dyDescent="0.25">
      <c r="A42" s="10">
        <v>41</v>
      </c>
      <c r="B42" s="10" t="s">
        <v>85</v>
      </c>
      <c r="C42" s="10" t="s">
        <v>15</v>
      </c>
      <c r="D42" s="10" t="s">
        <v>16</v>
      </c>
      <c r="E42" s="11">
        <v>36.621499999999997</v>
      </c>
      <c r="F42" s="11">
        <v>47.686419999999998</v>
      </c>
      <c r="G42" s="12">
        <v>2E-3</v>
      </c>
      <c r="H42" s="13">
        <v>90</v>
      </c>
      <c r="I42" s="10">
        <v>100</v>
      </c>
      <c r="J42" s="10">
        <v>100</v>
      </c>
      <c r="K42" s="14">
        <v>2.5</v>
      </c>
      <c r="L42" s="10">
        <v>80</v>
      </c>
      <c r="M42" s="15">
        <v>0.75</v>
      </c>
      <c r="N42" s="10">
        <v>80</v>
      </c>
      <c r="O42" s="10">
        <v>3</v>
      </c>
      <c r="U42" s="20">
        <f t="shared" ca="1" si="15"/>
        <v>0.8</v>
      </c>
      <c r="V42" s="20">
        <f t="shared" ca="1" si="15"/>
        <v>0.89</v>
      </c>
      <c r="W42" s="20">
        <f t="shared" ca="1" si="15"/>
        <v>0.5</v>
      </c>
      <c r="X42">
        <f t="shared" ca="1" si="11"/>
        <v>36.741509999999998</v>
      </c>
      <c r="Y42">
        <f t="shared" ca="1" si="12"/>
        <v>47.60566</v>
      </c>
      <c r="Z42" s="19">
        <f t="shared" ca="1" si="16"/>
        <v>0.46</v>
      </c>
      <c r="AA42" s="19">
        <f t="shared" ca="1" si="16"/>
        <v>0.47</v>
      </c>
      <c r="AB42" s="19">
        <f t="shared" ca="1" si="16"/>
        <v>1</v>
      </c>
      <c r="AC42">
        <f t="shared" ca="1" si="13"/>
        <v>36.784280000000003</v>
      </c>
      <c r="AD42">
        <f t="shared" ca="1" si="14"/>
        <v>47.668559999999999</v>
      </c>
      <c r="AE42">
        <f t="shared" ca="1" si="6"/>
        <v>9018</v>
      </c>
      <c r="AF42">
        <f t="shared" ca="1" si="7"/>
        <v>36.901800000000001</v>
      </c>
      <c r="AI42" s="10" t="s">
        <v>37</v>
      </c>
      <c r="AJ42" t="str">
        <f t="shared" si="8"/>
        <v>T-72B3 Tank  #41</v>
      </c>
      <c r="AL42" s="10">
        <f t="shared" ca="1" si="9"/>
        <v>340</v>
      </c>
      <c r="AM42" s="10">
        <f t="shared" ca="1" si="10"/>
        <v>47.734000000000002</v>
      </c>
    </row>
    <row r="43" spans="1:39" x14ac:dyDescent="0.25">
      <c r="A43" s="10">
        <v>42</v>
      </c>
      <c r="B43" s="10" t="s">
        <v>86</v>
      </c>
      <c r="C43" s="10" t="s">
        <v>15</v>
      </c>
      <c r="D43" s="10" t="s">
        <v>16</v>
      </c>
      <c r="E43" s="11">
        <v>36.57</v>
      </c>
      <c r="F43" s="11">
        <v>47.64</v>
      </c>
      <c r="G43" s="12">
        <v>2E-3</v>
      </c>
      <c r="H43" s="13">
        <v>90</v>
      </c>
      <c r="I43" s="10">
        <v>100</v>
      </c>
      <c r="J43" s="10">
        <v>100</v>
      </c>
      <c r="K43" s="14">
        <v>2.5</v>
      </c>
      <c r="L43" s="10">
        <v>80</v>
      </c>
      <c r="M43" s="15">
        <v>0.75</v>
      </c>
      <c r="N43" s="10">
        <v>80</v>
      </c>
      <c r="O43" s="10">
        <v>3</v>
      </c>
      <c r="U43" s="20">
        <f t="shared" ca="1" si="15"/>
        <v>0.25</v>
      </c>
      <c r="V43" s="20">
        <f t="shared" ca="1" si="15"/>
        <v>0.67</v>
      </c>
      <c r="W43" s="20">
        <f t="shared" ca="1" si="15"/>
        <v>0.91</v>
      </c>
      <c r="X43">
        <f t="shared" ca="1" si="11"/>
        <v>36.667119999999997</v>
      </c>
      <c r="Y43">
        <f t="shared" ca="1" si="12"/>
        <v>47.543660000000003</v>
      </c>
      <c r="Z43" s="19">
        <f t="shared" ca="1" si="16"/>
        <v>0.57999999999999996</v>
      </c>
      <c r="AA43" s="19">
        <f t="shared" ca="1" si="16"/>
        <v>0.41</v>
      </c>
      <c r="AB43" s="19">
        <f t="shared" ca="1" si="16"/>
        <v>0.92</v>
      </c>
      <c r="AC43">
        <f t="shared" ca="1" si="13"/>
        <v>36.787140000000001</v>
      </c>
      <c r="AD43">
        <f t="shared" ca="1" si="14"/>
        <v>47.661470000000001</v>
      </c>
      <c r="AE43">
        <f t="shared" ca="1" si="6"/>
        <v>8714</v>
      </c>
      <c r="AF43">
        <f t="shared" ca="1" si="7"/>
        <v>36.871400000000001</v>
      </c>
      <c r="AI43" s="10" t="s">
        <v>37</v>
      </c>
      <c r="AJ43" t="str">
        <f t="shared" si="8"/>
        <v>T-72B3 Tank  #42</v>
      </c>
      <c r="AL43" s="10">
        <f t="shared" ca="1" si="9"/>
        <v>595</v>
      </c>
      <c r="AM43" s="10">
        <f t="shared" ca="1" si="10"/>
        <v>47.759500000000003</v>
      </c>
    </row>
    <row r="44" spans="1:39" x14ac:dyDescent="0.25">
      <c r="A44" s="10">
        <v>43</v>
      </c>
      <c r="B44" s="10" t="s">
        <v>87</v>
      </c>
      <c r="C44" s="10" t="s">
        <v>15</v>
      </c>
      <c r="D44" s="10" t="s">
        <v>16</v>
      </c>
      <c r="E44" s="11">
        <v>36.684559999999998</v>
      </c>
      <c r="F44" s="11">
        <v>47.569789999999998</v>
      </c>
      <c r="G44" s="12">
        <v>2.5000000000000001E-3</v>
      </c>
      <c r="H44" s="13">
        <v>90</v>
      </c>
      <c r="I44" s="10">
        <v>110</v>
      </c>
      <c r="J44" s="10">
        <v>110</v>
      </c>
      <c r="K44" s="14">
        <v>2.8</v>
      </c>
      <c r="L44" s="10">
        <v>85</v>
      </c>
      <c r="M44" s="15">
        <v>0.78</v>
      </c>
      <c r="N44" s="10">
        <v>85</v>
      </c>
      <c r="O44" s="10">
        <v>3</v>
      </c>
      <c r="U44" s="20">
        <f t="shared" ca="1" si="15"/>
        <v>0.96</v>
      </c>
      <c r="V44" s="20">
        <f t="shared" ca="1" si="15"/>
        <v>0.73</v>
      </c>
      <c r="W44" s="20">
        <f t="shared" ca="1" si="15"/>
        <v>0.98</v>
      </c>
      <c r="X44">
        <f t="shared" ca="1" si="11"/>
        <v>36.769170000000003</v>
      </c>
      <c r="Y44">
        <f t="shared" ca="1" si="12"/>
        <v>47.696579999999997</v>
      </c>
      <c r="Z44" s="19">
        <f t="shared" ca="1" si="16"/>
        <v>0.76</v>
      </c>
      <c r="AA44" s="19">
        <f t="shared" ca="1" si="16"/>
        <v>0.32</v>
      </c>
      <c r="AB44" s="19">
        <f t="shared" ca="1" si="16"/>
        <v>0.24</v>
      </c>
      <c r="AC44">
        <f t="shared" ca="1" si="13"/>
        <v>36.821280000000002</v>
      </c>
      <c r="AD44">
        <f t="shared" ca="1" si="14"/>
        <v>47.635069999999999</v>
      </c>
      <c r="AE44">
        <f t="shared" ca="1" si="6"/>
        <v>452</v>
      </c>
      <c r="AF44">
        <f t="shared" ca="1" si="7"/>
        <v>36.045200000000001</v>
      </c>
      <c r="AI44" s="10" t="s">
        <v>38</v>
      </c>
      <c r="AJ44" t="str">
        <f t="shared" si="8"/>
        <v>T-80BVM Tank  #43</v>
      </c>
      <c r="AL44" s="10">
        <f t="shared" ca="1" si="9"/>
        <v>376</v>
      </c>
      <c r="AM44" s="10">
        <f t="shared" ca="1" si="10"/>
        <v>47.7376</v>
      </c>
    </row>
    <row r="45" spans="1:39" x14ac:dyDescent="0.25">
      <c r="A45" s="10">
        <v>44</v>
      </c>
      <c r="B45" s="10" t="s">
        <v>88</v>
      </c>
      <c r="C45" s="10" t="s">
        <v>15</v>
      </c>
      <c r="D45" s="10" t="s">
        <v>16</v>
      </c>
      <c r="E45" s="11">
        <v>36.76876</v>
      </c>
      <c r="F45" s="11">
        <v>47.651780000000002</v>
      </c>
      <c r="G45" s="12">
        <v>2E-3</v>
      </c>
      <c r="H45" s="13">
        <v>90</v>
      </c>
      <c r="I45" s="10">
        <v>100</v>
      </c>
      <c r="J45" s="10">
        <v>100</v>
      </c>
      <c r="K45" s="14">
        <v>2.5</v>
      </c>
      <c r="L45" s="10">
        <v>80</v>
      </c>
      <c r="M45" s="15">
        <v>0.75</v>
      </c>
      <c r="N45" s="10">
        <v>80</v>
      </c>
      <c r="O45" s="10">
        <v>3</v>
      </c>
      <c r="U45" s="20">
        <f t="shared" ca="1" si="15"/>
        <v>0.16</v>
      </c>
      <c r="V45" s="20">
        <f t="shared" ca="1" si="15"/>
        <v>0.01</v>
      </c>
      <c r="W45" s="20">
        <f t="shared" ca="1" si="15"/>
        <v>0.92</v>
      </c>
      <c r="X45">
        <f t="shared" ca="1" si="11"/>
        <v>36.608400000000003</v>
      </c>
      <c r="Y45">
        <f t="shared" ca="1" si="12"/>
        <v>47.680799999999998</v>
      </c>
      <c r="Z45" s="19">
        <f t="shared" ca="1" si="16"/>
        <v>0.65</v>
      </c>
      <c r="AA45" s="19">
        <f t="shared" ca="1" si="16"/>
        <v>0.92</v>
      </c>
      <c r="AB45" s="19">
        <f t="shared" ca="1" si="16"/>
        <v>0.56000000000000005</v>
      </c>
      <c r="AC45">
        <f t="shared" ca="1" si="13"/>
        <v>36.840159999999997</v>
      </c>
      <c r="AD45">
        <f t="shared" ca="1" si="14"/>
        <v>47.674810000000001</v>
      </c>
      <c r="AE45">
        <f t="shared" ca="1" si="6"/>
        <v>9392</v>
      </c>
      <c r="AF45">
        <f t="shared" ca="1" si="7"/>
        <v>36.9392</v>
      </c>
      <c r="AI45" s="10" t="s">
        <v>37</v>
      </c>
      <c r="AJ45" t="str">
        <f t="shared" si="8"/>
        <v>T-72B3 Tank  #44</v>
      </c>
      <c r="AL45" s="10">
        <f t="shared" ca="1" si="9"/>
        <v>159</v>
      </c>
      <c r="AM45" s="10">
        <f t="shared" ca="1" si="10"/>
        <v>47.715900000000005</v>
      </c>
    </row>
    <row r="46" spans="1:39" x14ac:dyDescent="0.25">
      <c r="A46" s="10">
        <v>45</v>
      </c>
      <c r="B46" s="10" t="s">
        <v>89</v>
      </c>
      <c r="C46" s="10" t="s">
        <v>15</v>
      </c>
      <c r="D46" s="10" t="s">
        <v>16</v>
      </c>
      <c r="E46" s="11">
        <v>36.707160000000002</v>
      </c>
      <c r="F46" s="11">
        <v>47.698920000000001</v>
      </c>
      <c r="G46" s="12">
        <v>2.5000000000000001E-3</v>
      </c>
      <c r="H46" s="13">
        <v>90</v>
      </c>
      <c r="I46" s="10">
        <v>110</v>
      </c>
      <c r="J46" s="10">
        <v>110</v>
      </c>
      <c r="K46" s="14">
        <v>2.8</v>
      </c>
      <c r="L46" s="10">
        <v>85</v>
      </c>
      <c r="M46" s="15">
        <v>0.78</v>
      </c>
      <c r="N46" s="10">
        <v>85</v>
      </c>
      <c r="O46" s="10">
        <v>3</v>
      </c>
      <c r="U46" s="20">
        <f t="shared" ca="1" si="15"/>
        <v>0.4</v>
      </c>
      <c r="V46" s="20">
        <f t="shared" ca="1" si="15"/>
        <v>0.41</v>
      </c>
      <c r="W46" s="20">
        <f t="shared" ca="1" si="15"/>
        <v>0.42</v>
      </c>
      <c r="X46">
        <f t="shared" ca="1" si="11"/>
        <v>36.589759999999998</v>
      </c>
      <c r="Y46">
        <f t="shared" ca="1" si="12"/>
        <v>47.609079999999999</v>
      </c>
      <c r="Z46" s="19">
        <f t="shared" ca="1" si="16"/>
        <v>0.04</v>
      </c>
      <c r="AA46" s="19">
        <f t="shared" ca="1" si="16"/>
        <v>0.08</v>
      </c>
      <c r="AB46" s="19">
        <f t="shared" ca="1" si="16"/>
        <v>0.05</v>
      </c>
      <c r="AC46">
        <f t="shared" ca="1" si="13"/>
        <v>36.792430000000003</v>
      </c>
      <c r="AD46">
        <f t="shared" ca="1" si="14"/>
        <v>47.600709999999999</v>
      </c>
      <c r="AE46">
        <f t="shared" ca="1" si="6"/>
        <v>1374</v>
      </c>
      <c r="AF46">
        <f t="shared" ca="1" si="7"/>
        <v>36.1374</v>
      </c>
      <c r="AI46" s="10" t="s">
        <v>38</v>
      </c>
      <c r="AJ46" t="str">
        <f t="shared" si="8"/>
        <v>T-80BVM Tank  #45</v>
      </c>
      <c r="AL46" s="10">
        <f t="shared" ca="1" si="9"/>
        <v>417</v>
      </c>
      <c r="AM46" s="10">
        <f t="shared" ca="1" si="10"/>
        <v>47.741700000000002</v>
      </c>
    </row>
    <row r="47" spans="1:39" x14ac:dyDescent="0.25">
      <c r="A47" s="10">
        <v>46</v>
      </c>
      <c r="B47" s="10" t="s">
        <v>90</v>
      </c>
      <c r="C47" s="10" t="s">
        <v>15</v>
      </c>
      <c r="D47" s="10" t="s">
        <v>17</v>
      </c>
      <c r="E47" s="11">
        <v>36.63138</v>
      </c>
      <c r="F47" s="11">
        <v>47.618920000000003</v>
      </c>
      <c r="G47" s="12">
        <v>3.0000000000000001E-3</v>
      </c>
      <c r="H47" s="13">
        <v>90</v>
      </c>
      <c r="I47" s="10">
        <v>60</v>
      </c>
      <c r="J47" s="10">
        <v>60</v>
      </c>
      <c r="K47" s="14">
        <v>1.5</v>
      </c>
      <c r="L47" s="10">
        <v>40</v>
      </c>
      <c r="M47" s="15">
        <v>0.7</v>
      </c>
      <c r="N47" s="10">
        <v>30</v>
      </c>
      <c r="O47" s="10">
        <v>7</v>
      </c>
      <c r="U47" s="20">
        <f t="shared" ca="1" si="15"/>
        <v>0.64</v>
      </c>
      <c r="V47" s="20">
        <f t="shared" ca="1" si="15"/>
        <v>0.88</v>
      </c>
      <c r="W47" s="20">
        <f t="shared" ca="1" si="15"/>
        <v>0.16</v>
      </c>
      <c r="X47">
        <f t="shared" ca="1" si="11"/>
        <v>36.708820000000003</v>
      </c>
      <c r="Y47">
        <f t="shared" ca="1" si="12"/>
        <v>47.542400000000001</v>
      </c>
      <c r="Z47" s="19">
        <f t="shared" ca="1" si="16"/>
        <v>0.1</v>
      </c>
      <c r="AA47" s="19">
        <f t="shared" ca="1" si="16"/>
        <v>0.42</v>
      </c>
      <c r="AB47" s="19">
        <f t="shared" ca="1" si="16"/>
        <v>0.33</v>
      </c>
      <c r="AC47">
        <f t="shared" ca="1" si="13"/>
        <v>36.847209999999997</v>
      </c>
      <c r="AD47">
        <f t="shared" ca="1" si="14"/>
        <v>47.610689999999998</v>
      </c>
      <c r="AE47">
        <f t="shared" ca="1" si="6"/>
        <v>4221</v>
      </c>
      <c r="AF47">
        <f t="shared" ca="1" si="7"/>
        <v>36.4221</v>
      </c>
      <c r="AI47" s="10" t="s">
        <v>39</v>
      </c>
      <c r="AJ47" t="str">
        <f t="shared" si="8"/>
        <v>BMP-2  #46</v>
      </c>
      <c r="AL47" s="10">
        <f t="shared" ca="1" si="9"/>
        <v>962</v>
      </c>
      <c r="AM47" s="10">
        <f t="shared" ca="1" si="10"/>
        <v>47.796200000000006</v>
      </c>
    </row>
    <row r="48" spans="1:39" x14ac:dyDescent="0.25">
      <c r="A48" s="10">
        <v>47</v>
      </c>
      <c r="B48" s="10" t="s">
        <v>91</v>
      </c>
      <c r="C48" s="10" t="s">
        <v>15</v>
      </c>
      <c r="D48" s="10" t="s">
        <v>17</v>
      </c>
      <c r="E48" s="11">
        <v>36.547170000000001</v>
      </c>
      <c r="F48" s="11">
        <v>47.584910000000001</v>
      </c>
      <c r="G48" s="12">
        <v>3.0000000000000001E-3</v>
      </c>
      <c r="H48" s="13">
        <v>90</v>
      </c>
      <c r="I48" s="10">
        <v>60</v>
      </c>
      <c r="J48" s="10">
        <v>60</v>
      </c>
      <c r="K48" s="14">
        <v>1.5</v>
      </c>
      <c r="L48" s="10">
        <v>40</v>
      </c>
      <c r="M48" s="15">
        <v>0.7</v>
      </c>
      <c r="N48" s="10">
        <v>30</v>
      </c>
      <c r="O48" s="10">
        <v>7</v>
      </c>
      <c r="U48" s="20">
        <f t="shared" ca="1" si="15"/>
        <v>0.59</v>
      </c>
      <c r="V48" s="20">
        <f t="shared" ca="1" si="15"/>
        <v>0.99</v>
      </c>
      <c r="W48" s="20">
        <f t="shared" ca="1" si="15"/>
        <v>1</v>
      </c>
      <c r="X48">
        <f t="shared" ca="1" si="11"/>
        <v>36.798999999999999</v>
      </c>
      <c r="Y48">
        <f t="shared" ca="1" si="12"/>
        <v>47.7</v>
      </c>
      <c r="Z48" s="19">
        <f t="shared" ca="1" si="16"/>
        <v>0.64</v>
      </c>
      <c r="AA48" s="19">
        <f t="shared" ca="1" si="16"/>
        <v>0.16</v>
      </c>
      <c r="AB48" s="19">
        <f t="shared" ca="1" si="16"/>
        <v>0.28000000000000003</v>
      </c>
      <c r="AC48">
        <f t="shared" ca="1" si="13"/>
        <v>36.7988</v>
      </c>
      <c r="AD48">
        <f t="shared" ca="1" si="14"/>
        <v>47.625599999999999</v>
      </c>
      <c r="AE48">
        <f t="shared" ca="1" si="6"/>
        <v>4914</v>
      </c>
      <c r="AF48">
        <f t="shared" ca="1" si="7"/>
        <v>36.491399999999999</v>
      </c>
      <c r="AI48" s="10" t="s">
        <v>39</v>
      </c>
      <c r="AJ48" t="str">
        <f t="shared" si="8"/>
        <v>BMP-2  #47</v>
      </c>
      <c r="AL48" s="10">
        <f t="shared" ca="1" si="9"/>
        <v>428</v>
      </c>
      <c r="AM48" s="10">
        <f t="shared" ca="1" si="10"/>
        <v>47.742800000000003</v>
      </c>
    </row>
    <row r="49" spans="1:39" x14ac:dyDescent="0.25">
      <c r="A49" s="10">
        <v>48</v>
      </c>
      <c r="B49" s="10" t="s">
        <v>92</v>
      </c>
      <c r="C49" s="10" t="s">
        <v>15</v>
      </c>
      <c r="D49" s="10" t="s">
        <v>17</v>
      </c>
      <c r="E49" s="11">
        <v>36.742800000000003</v>
      </c>
      <c r="F49" s="11">
        <v>47.641500000000001</v>
      </c>
      <c r="G49" s="12">
        <v>3.5000000000000001E-3</v>
      </c>
      <c r="H49" s="13">
        <v>90</v>
      </c>
      <c r="I49" s="10">
        <v>50</v>
      </c>
      <c r="J49" s="10">
        <v>50</v>
      </c>
      <c r="K49" s="14">
        <v>1.2</v>
      </c>
      <c r="L49" s="10">
        <v>25</v>
      </c>
      <c r="M49" s="15">
        <v>0.65</v>
      </c>
      <c r="N49" s="10">
        <v>20</v>
      </c>
      <c r="O49" s="10">
        <v>8</v>
      </c>
      <c r="U49" s="20">
        <f t="shared" ca="1" si="15"/>
        <v>0.23</v>
      </c>
      <c r="V49" s="20">
        <f t="shared" ca="1" si="15"/>
        <v>0.63</v>
      </c>
      <c r="W49" s="20">
        <f t="shared" ca="1" si="15"/>
        <v>0.21</v>
      </c>
      <c r="X49">
        <f t="shared" ca="1" si="11"/>
        <v>36.553959999999996</v>
      </c>
      <c r="Y49">
        <f t="shared" ca="1" si="12"/>
        <v>47.603960000000001</v>
      </c>
      <c r="Z49" s="19">
        <f t="shared" ca="1" si="16"/>
        <v>0.12</v>
      </c>
      <c r="AA49" s="19">
        <f t="shared" ca="1" si="16"/>
        <v>0.88</v>
      </c>
      <c r="AB49" s="19">
        <f t="shared" ca="1" si="16"/>
        <v>0.28000000000000003</v>
      </c>
      <c r="AC49">
        <f t="shared" ca="1" si="13"/>
        <v>36.890709999999999</v>
      </c>
      <c r="AD49">
        <f t="shared" ca="1" si="14"/>
        <v>47.613129999999998</v>
      </c>
      <c r="AE49">
        <f t="shared" ca="1" si="6"/>
        <v>6346</v>
      </c>
      <c r="AF49">
        <f t="shared" ca="1" si="7"/>
        <v>36.634599999999999</v>
      </c>
      <c r="AI49" s="10" t="s">
        <v>40</v>
      </c>
      <c r="AJ49" t="str">
        <f t="shared" si="8"/>
        <v>BTR-80  #48</v>
      </c>
      <c r="AL49" s="10">
        <f t="shared" ca="1" si="9"/>
        <v>655</v>
      </c>
      <c r="AM49" s="10">
        <f t="shared" ca="1" si="10"/>
        <v>47.765500000000003</v>
      </c>
    </row>
    <row r="50" spans="1:39" x14ac:dyDescent="0.25">
      <c r="A50" s="10">
        <v>49</v>
      </c>
      <c r="B50" s="10" t="s">
        <v>93</v>
      </c>
      <c r="C50" s="10" t="s">
        <v>15</v>
      </c>
      <c r="D50" s="10" t="s">
        <v>17</v>
      </c>
      <c r="E50" s="11">
        <v>36.557139999999997</v>
      </c>
      <c r="F50" s="11">
        <v>47.602370000000001</v>
      </c>
      <c r="G50" s="12">
        <v>3.0000000000000001E-3</v>
      </c>
      <c r="H50" s="13">
        <v>90</v>
      </c>
      <c r="I50" s="10">
        <v>60</v>
      </c>
      <c r="J50" s="10">
        <v>60</v>
      </c>
      <c r="K50" s="14">
        <v>1.5</v>
      </c>
      <c r="L50" s="10">
        <v>40</v>
      </c>
      <c r="M50" s="15">
        <v>0.7</v>
      </c>
      <c r="N50" s="10">
        <v>30</v>
      </c>
      <c r="O50" s="10">
        <v>7</v>
      </c>
      <c r="U50" s="20">
        <f t="shared" ca="1" si="15"/>
        <v>0.35</v>
      </c>
      <c r="V50" s="20">
        <f t="shared" ca="1" si="15"/>
        <v>0.85</v>
      </c>
      <c r="W50" s="20">
        <f t="shared" ca="1" si="15"/>
        <v>0.46</v>
      </c>
      <c r="X50">
        <f t="shared" ca="1" si="11"/>
        <v>36.592619999999997</v>
      </c>
      <c r="Y50">
        <f t="shared" ca="1" si="12"/>
        <v>47.565390000000001</v>
      </c>
      <c r="Z50" s="19">
        <f t="shared" ca="1" si="16"/>
        <v>0.78</v>
      </c>
      <c r="AA50" s="19">
        <f t="shared" ca="1" si="16"/>
        <v>0.31</v>
      </c>
      <c r="AB50" s="19">
        <f t="shared" ca="1" si="16"/>
        <v>0.36</v>
      </c>
      <c r="AC50">
        <f t="shared" ca="1" si="13"/>
        <v>36.813470000000002</v>
      </c>
      <c r="AD50">
        <f t="shared" ca="1" si="14"/>
        <v>47.637860000000003</v>
      </c>
      <c r="AE50">
        <f t="shared" ca="1" si="6"/>
        <v>7846</v>
      </c>
      <c r="AF50">
        <f t="shared" ca="1" si="7"/>
        <v>36.784599999999998</v>
      </c>
      <c r="AI50" s="10" t="s">
        <v>39</v>
      </c>
      <c r="AJ50" t="str">
        <f t="shared" si="8"/>
        <v>BMP-2  #49</v>
      </c>
      <c r="AL50" s="10">
        <f t="shared" ca="1" si="9"/>
        <v>248</v>
      </c>
      <c r="AM50" s="10">
        <f t="shared" ca="1" si="10"/>
        <v>47.724800000000002</v>
      </c>
    </row>
    <row r="51" spans="1:39" x14ac:dyDescent="0.25">
      <c r="A51" s="10">
        <v>50</v>
      </c>
      <c r="B51" s="10" t="s">
        <v>94</v>
      </c>
      <c r="C51" s="10" t="s">
        <v>15</v>
      </c>
      <c r="D51" s="10" t="s">
        <v>17</v>
      </c>
      <c r="E51" s="11">
        <v>36.581240000000001</v>
      </c>
      <c r="F51" s="11">
        <v>47.568669999999997</v>
      </c>
      <c r="G51" s="12">
        <v>3.0000000000000001E-3</v>
      </c>
      <c r="H51" s="13">
        <v>90</v>
      </c>
      <c r="I51" s="10">
        <v>60</v>
      </c>
      <c r="J51" s="10">
        <v>60</v>
      </c>
      <c r="K51" s="14">
        <v>1.5</v>
      </c>
      <c r="L51" s="10">
        <v>40</v>
      </c>
      <c r="M51" s="15">
        <v>0.7</v>
      </c>
      <c r="N51" s="10">
        <v>30</v>
      </c>
      <c r="O51" s="10">
        <v>7</v>
      </c>
      <c r="U51" s="20">
        <f t="shared" ca="1" si="15"/>
        <v>0.67</v>
      </c>
      <c r="V51" s="20">
        <f t="shared" ca="1" si="15"/>
        <v>0.4</v>
      </c>
      <c r="W51" s="20">
        <f t="shared" ca="1" si="15"/>
        <v>0.02</v>
      </c>
      <c r="X51">
        <f t="shared" ca="1" si="11"/>
        <v>36.66451</v>
      </c>
      <c r="Y51">
        <f t="shared" ca="1" si="12"/>
        <v>47.576039999999999</v>
      </c>
      <c r="Z51" s="19">
        <f t="shared" ca="1" si="16"/>
        <v>0.94</v>
      </c>
      <c r="AA51" s="19">
        <f t="shared" ca="1" si="16"/>
        <v>0.95</v>
      </c>
      <c r="AB51" s="19">
        <f t="shared" ca="1" si="16"/>
        <v>0.31</v>
      </c>
      <c r="AC51">
        <f t="shared" ca="1" si="13"/>
        <v>36.865989999999996</v>
      </c>
      <c r="AD51">
        <f t="shared" ca="1" si="14"/>
        <v>47.66384</v>
      </c>
      <c r="AE51">
        <f t="shared" ca="1" si="6"/>
        <v>2627</v>
      </c>
      <c r="AF51">
        <f t="shared" ca="1" si="7"/>
        <v>36.262700000000002</v>
      </c>
      <c r="AI51" s="10" t="s">
        <v>39</v>
      </c>
      <c r="AJ51" t="str">
        <f t="shared" si="8"/>
        <v>BMP-2  #50</v>
      </c>
      <c r="AL51" s="10">
        <f t="shared" ca="1" si="9"/>
        <v>967</v>
      </c>
      <c r="AM51" s="10">
        <f t="shared" ca="1" si="10"/>
        <v>47.796700000000001</v>
      </c>
    </row>
    <row r="52" spans="1:39" x14ac:dyDescent="0.25">
      <c r="A52" s="10">
        <v>51</v>
      </c>
      <c r="B52" s="10" t="s">
        <v>95</v>
      </c>
      <c r="C52" s="10" t="s">
        <v>15</v>
      </c>
      <c r="D52" s="10" t="s">
        <v>17</v>
      </c>
      <c r="E52" s="11">
        <v>36.648560000000003</v>
      </c>
      <c r="F52" s="11">
        <v>47.568600000000004</v>
      </c>
      <c r="G52" s="12">
        <v>3.5000000000000001E-3</v>
      </c>
      <c r="H52" s="13">
        <v>90</v>
      </c>
      <c r="I52" s="10">
        <v>50</v>
      </c>
      <c r="J52" s="10">
        <v>50</v>
      </c>
      <c r="K52" s="14">
        <v>1.2</v>
      </c>
      <c r="L52" s="10">
        <v>25</v>
      </c>
      <c r="M52" s="15">
        <v>0.65</v>
      </c>
      <c r="N52" s="10">
        <v>20</v>
      </c>
      <c r="O52" s="10">
        <v>8</v>
      </c>
      <c r="U52" s="20">
        <f t="shared" ca="1" si="15"/>
        <v>0.44</v>
      </c>
      <c r="V52" s="20">
        <f t="shared" ca="1" si="15"/>
        <v>1</v>
      </c>
      <c r="W52" s="20">
        <f t="shared" ca="1" si="15"/>
        <v>0.4</v>
      </c>
      <c r="X52">
        <f t="shared" ca="1" si="11"/>
        <v>36.74</v>
      </c>
      <c r="Y52">
        <f t="shared" ca="1" si="12"/>
        <v>47.58</v>
      </c>
      <c r="Z52" s="19">
        <f t="shared" ca="1" si="16"/>
        <v>0.93</v>
      </c>
      <c r="AA52" s="19">
        <f t="shared" ca="1" si="16"/>
        <v>0.95</v>
      </c>
      <c r="AB52" s="19">
        <f t="shared" ca="1" si="16"/>
        <v>0.68</v>
      </c>
      <c r="AC52">
        <f t="shared" ca="1" si="13"/>
        <v>36.829920000000001</v>
      </c>
      <c r="AD52">
        <f t="shared" ca="1" si="14"/>
        <v>47.681870000000004</v>
      </c>
      <c r="AE52">
        <f t="shared" ca="1" si="6"/>
        <v>8886</v>
      </c>
      <c r="AF52">
        <f t="shared" ca="1" si="7"/>
        <v>36.888599999999997</v>
      </c>
      <c r="AI52" s="10" t="s">
        <v>40</v>
      </c>
      <c r="AJ52" t="str">
        <f t="shared" si="8"/>
        <v>BTR-80  #51</v>
      </c>
      <c r="AL52" s="10">
        <f t="shared" ca="1" si="9"/>
        <v>92</v>
      </c>
      <c r="AM52" s="10">
        <f t="shared" ca="1" si="10"/>
        <v>47.709200000000003</v>
      </c>
    </row>
    <row r="53" spans="1:39" x14ac:dyDescent="0.25">
      <c r="A53" s="10">
        <v>52</v>
      </c>
      <c r="B53" s="10" t="s">
        <v>96</v>
      </c>
      <c r="C53" s="10" t="s">
        <v>15</v>
      </c>
      <c r="D53" s="10" t="s">
        <v>17</v>
      </c>
      <c r="E53" s="11">
        <v>36.590400000000002</v>
      </c>
      <c r="F53" s="11">
        <v>47.674799999999998</v>
      </c>
      <c r="G53" s="12">
        <v>3.0000000000000001E-3</v>
      </c>
      <c r="H53" s="13">
        <v>90</v>
      </c>
      <c r="I53" s="10">
        <v>60</v>
      </c>
      <c r="J53" s="10">
        <v>60</v>
      </c>
      <c r="K53" s="14">
        <v>1.5</v>
      </c>
      <c r="L53" s="10">
        <v>40</v>
      </c>
      <c r="M53" s="15">
        <v>0.7</v>
      </c>
      <c r="N53" s="10">
        <v>30</v>
      </c>
      <c r="O53" s="10">
        <v>7</v>
      </c>
      <c r="U53" s="20">
        <f t="shared" ca="1" si="15"/>
        <v>0.53</v>
      </c>
      <c r="V53" s="20">
        <f t="shared" ca="1" si="15"/>
        <v>0.84</v>
      </c>
      <c r="W53" s="20">
        <f t="shared" ca="1" si="15"/>
        <v>0.03</v>
      </c>
      <c r="X53">
        <f t="shared" ca="1" si="11"/>
        <v>36.694400000000002</v>
      </c>
      <c r="Y53">
        <f t="shared" ca="1" si="12"/>
        <v>47.522199999999998</v>
      </c>
      <c r="Z53" s="19">
        <f t="shared" ca="1" si="16"/>
        <v>0.94</v>
      </c>
      <c r="AA53" s="19">
        <f t="shared" ca="1" si="16"/>
        <v>0.49</v>
      </c>
      <c r="AB53" s="19">
        <f t="shared" ca="1" si="16"/>
        <v>0.3</v>
      </c>
      <c r="AC53">
        <f t="shared" ca="1" si="13"/>
        <v>36.834000000000003</v>
      </c>
      <c r="AD53">
        <f t="shared" ca="1" si="14"/>
        <v>47.645499999999998</v>
      </c>
      <c r="AE53">
        <f t="shared" ca="1" si="6"/>
        <v>6816</v>
      </c>
      <c r="AF53">
        <f t="shared" ca="1" si="7"/>
        <v>36.681600000000003</v>
      </c>
      <c r="AI53" s="10" t="s">
        <v>39</v>
      </c>
      <c r="AJ53" t="str">
        <f t="shared" si="8"/>
        <v>BMP-2  #52</v>
      </c>
      <c r="AL53" s="10">
        <f t="shared" ca="1" si="9"/>
        <v>61</v>
      </c>
      <c r="AM53" s="10">
        <f t="shared" ca="1" si="10"/>
        <v>47.706100000000006</v>
      </c>
    </row>
    <row r="54" spans="1:39" x14ac:dyDescent="0.25">
      <c r="A54" s="10">
        <v>53</v>
      </c>
      <c r="B54" s="10" t="s">
        <v>97</v>
      </c>
      <c r="C54" s="10" t="s">
        <v>15</v>
      </c>
      <c r="D54" s="10" t="s">
        <v>17</v>
      </c>
      <c r="E54" s="11">
        <v>36.788679999999999</v>
      </c>
      <c r="F54" s="11">
        <v>47.7</v>
      </c>
      <c r="G54" s="12">
        <v>3.0000000000000001E-3</v>
      </c>
      <c r="H54" s="13">
        <v>90</v>
      </c>
      <c r="I54" s="10">
        <v>60</v>
      </c>
      <c r="J54" s="10">
        <v>60</v>
      </c>
      <c r="K54" s="14">
        <v>1.5</v>
      </c>
      <c r="L54" s="10">
        <v>40</v>
      </c>
      <c r="M54" s="15">
        <v>0.7</v>
      </c>
      <c r="N54" s="10">
        <v>30</v>
      </c>
      <c r="O54" s="10">
        <v>7</v>
      </c>
      <c r="U54" s="20">
        <f t="shared" ca="1" si="15"/>
        <v>0.89</v>
      </c>
      <c r="V54" s="20">
        <f t="shared" ca="1" si="15"/>
        <v>0.68</v>
      </c>
      <c r="W54" s="20">
        <f t="shared" ca="1" si="15"/>
        <v>0.59</v>
      </c>
      <c r="X54">
        <f t="shared" ca="1" si="11"/>
        <v>36.731110000000001</v>
      </c>
      <c r="Y54">
        <f t="shared" ca="1" si="12"/>
        <v>47.632379999999998</v>
      </c>
      <c r="Z54" s="19">
        <f t="shared" ca="1" si="16"/>
        <v>0.82</v>
      </c>
      <c r="AA54" s="19">
        <f t="shared" ca="1" si="16"/>
        <v>0.92</v>
      </c>
      <c r="AB54" s="19">
        <f t="shared" ca="1" si="16"/>
        <v>0.02</v>
      </c>
      <c r="AC54">
        <f t="shared" ca="1" si="13"/>
        <v>36.891959999999997</v>
      </c>
      <c r="AD54">
        <f t="shared" ca="1" si="14"/>
        <v>47.648919999999997</v>
      </c>
      <c r="AE54">
        <f t="shared" ca="1" si="6"/>
        <v>6578</v>
      </c>
      <c r="AF54">
        <f t="shared" ca="1" si="7"/>
        <v>36.657800000000002</v>
      </c>
      <c r="AI54" s="10" t="s">
        <v>39</v>
      </c>
      <c r="AJ54" t="str">
        <f t="shared" si="8"/>
        <v>BMP-2  #53</v>
      </c>
      <c r="AL54" s="10">
        <f t="shared" ca="1" si="9"/>
        <v>383</v>
      </c>
      <c r="AM54" s="10">
        <f t="shared" ca="1" si="10"/>
        <v>47.738300000000002</v>
      </c>
    </row>
    <row r="55" spans="1:39" x14ac:dyDescent="0.25">
      <c r="A55" s="10">
        <v>54</v>
      </c>
      <c r="B55" s="10" t="s">
        <v>98</v>
      </c>
      <c r="C55" s="10" t="s">
        <v>15</v>
      </c>
      <c r="D55" s="10" t="s">
        <v>17</v>
      </c>
      <c r="E55" s="11">
        <v>36.667020000000001</v>
      </c>
      <c r="F55" s="11">
        <v>47.552250000000001</v>
      </c>
      <c r="G55" s="12">
        <v>3.5000000000000001E-3</v>
      </c>
      <c r="H55" s="13">
        <v>90</v>
      </c>
      <c r="I55" s="10">
        <v>50</v>
      </c>
      <c r="J55" s="10">
        <v>50</v>
      </c>
      <c r="K55" s="14">
        <v>1.2</v>
      </c>
      <c r="L55" s="10">
        <v>25</v>
      </c>
      <c r="M55" s="15">
        <v>0.65</v>
      </c>
      <c r="N55" s="10">
        <v>20</v>
      </c>
      <c r="O55" s="10">
        <v>8</v>
      </c>
      <c r="U55" s="20">
        <f t="shared" ca="1" si="15"/>
        <v>0.72</v>
      </c>
      <c r="V55" s="20">
        <f t="shared" ca="1" si="15"/>
        <v>0.19</v>
      </c>
      <c r="W55" s="20">
        <f t="shared" ca="1" si="15"/>
        <v>0.09</v>
      </c>
      <c r="X55">
        <f t="shared" ca="1" si="11"/>
        <v>36.647509999999997</v>
      </c>
      <c r="Y55">
        <f t="shared" ca="1" si="12"/>
        <v>47.620669999999997</v>
      </c>
      <c r="Z55" s="19">
        <f t="shared" ca="1" si="16"/>
        <v>0.25</v>
      </c>
      <c r="AA55" s="19">
        <f t="shared" ca="1" si="16"/>
        <v>0.78</v>
      </c>
      <c r="AB55" s="19">
        <f t="shared" ca="1" si="16"/>
        <v>0.18</v>
      </c>
      <c r="AC55">
        <f t="shared" ca="1" si="13"/>
        <v>36.882480000000001</v>
      </c>
      <c r="AD55">
        <f t="shared" ca="1" si="14"/>
        <v>47.607950000000002</v>
      </c>
      <c r="AE55">
        <f t="shared" ca="1" si="6"/>
        <v>8438</v>
      </c>
      <c r="AF55">
        <f t="shared" ca="1" si="7"/>
        <v>36.843800000000002</v>
      </c>
      <c r="AI55" s="10" t="s">
        <v>40</v>
      </c>
      <c r="AJ55" t="str">
        <f t="shared" si="8"/>
        <v>BTR-80  #54</v>
      </c>
      <c r="AL55" s="10">
        <f t="shared" ca="1" si="9"/>
        <v>365</v>
      </c>
      <c r="AM55" s="10">
        <f t="shared" ca="1" si="10"/>
        <v>47.736499999999999</v>
      </c>
    </row>
    <row r="56" spans="1:39" x14ac:dyDescent="0.25">
      <c r="A56" s="10">
        <v>55</v>
      </c>
      <c r="B56" s="10" t="s">
        <v>99</v>
      </c>
      <c r="C56" s="10" t="s">
        <v>15</v>
      </c>
      <c r="D56" s="10" t="s">
        <v>17</v>
      </c>
      <c r="E56" s="11">
        <v>36.657110000000003</v>
      </c>
      <c r="F56" s="11">
        <v>47.610259999999997</v>
      </c>
      <c r="G56" s="12">
        <v>3.0000000000000001E-3</v>
      </c>
      <c r="H56" s="13">
        <v>90</v>
      </c>
      <c r="I56" s="10">
        <v>60</v>
      </c>
      <c r="J56" s="10">
        <v>60</v>
      </c>
      <c r="K56" s="14">
        <v>1.5</v>
      </c>
      <c r="L56" s="10">
        <v>40</v>
      </c>
      <c r="M56" s="15">
        <v>0.7</v>
      </c>
      <c r="N56" s="10">
        <v>30</v>
      </c>
      <c r="O56" s="10">
        <v>7</v>
      </c>
      <c r="U56" s="20">
        <f t="shared" ca="1" si="15"/>
        <v>0.41</v>
      </c>
      <c r="V56" s="20">
        <f t="shared" ca="1" si="15"/>
        <v>0.98</v>
      </c>
      <c r="W56" s="20">
        <f t="shared" ca="1" si="15"/>
        <v>0.95</v>
      </c>
      <c r="X56">
        <f t="shared" ca="1" si="11"/>
        <v>36.689100000000003</v>
      </c>
      <c r="Y56">
        <f t="shared" ca="1" si="12"/>
        <v>47.506959999999999</v>
      </c>
      <c r="Z56" s="19">
        <f t="shared" ca="1" si="16"/>
        <v>0.64</v>
      </c>
      <c r="AA56" s="19">
        <f t="shared" ca="1" si="16"/>
        <v>0.03</v>
      </c>
      <c r="AB56" s="19">
        <f t="shared" ca="1" si="16"/>
        <v>0.64</v>
      </c>
      <c r="AC56">
        <f t="shared" ca="1" si="13"/>
        <v>36.764899999999997</v>
      </c>
      <c r="AD56">
        <f t="shared" ca="1" si="14"/>
        <v>47.614199999999997</v>
      </c>
      <c r="AE56">
        <f t="shared" ca="1" si="6"/>
        <v>8551</v>
      </c>
      <c r="AF56">
        <f t="shared" ca="1" si="7"/>
        <v>36.8551</v>
      </c>
      <c r="AI56" s="10" t="s">
        <v>39</v>
      </c>
      <c r="AJ56" t="str">
        <f t="shared" si="8"/>
        <v>BMP-2  #55</v>
      </c>
      <c r="AL56" s="10">
        <f t="shared" ca="1" si="9"/>
        <v>983</v>
      </c>
      <c r="AM56" s="10">
        <f t="shared" ca="1" si="10"/>
        <v>47.798300000000005</v>
      </c>
    </row>
    <row r="57" spans="1:39" x14ac:dyDescent="0.25">
      <c r="A57" s="10">
        <v>56</v>
      </c>
      <c r="B57" s="10" t="s">
        <v>100</v>
      </c>
      <c r="C57" s="10" t="s">
        <v>15</v>
      </c>
      <c r="D57" s="10" t="s">
        <v>17</v>
      </c>
      <c r="E57" s="11">
        <v>36.617930000000001</v>
      </c>
      <c r="F57" s="11">
        <v>47.594990000000003</v>
      </c>
      <c r="G57" s="12">
        <v>3.0000000000000001E-3</v>
      </c>
      <c r="H57" s="13">
        <v>90</v>
      </c>
      <c r="I57" s="10">
        <v>60</v>
      </c>
      <c r="J57" s="10">
        <v>60</v>
      </c>
      <c r="K57" s="14">
        <v>1.5</v>
      </c>
      <c r="L57" s="10">
        <v>40</v>
      </c>
      <c r="M57" s="15">
        <v>0.7</v>
      </c>
      <c r="N57" s="10">
        <v>30</v>
      </c>
      <c r="O57" s="10">
        <v>7</v>
      </c>
      <c r="U57" s="20">
        <f t="shared" ca="1" si="15"/>
        <v>0.03</v>
      </c>
      <c r="V57" s="20">
        <f t="shared" ca="1" si="15"/>
        <v>0.76</v>
      </c>
      <c r="W57" s="20">
        <f t="shared" ca="1" si="15"/>
        <v>0.96</v>
      </c>
      <c r="X57">
        <f t="shared" ca="1" si="11"/>
        <v>36.680199999999999</v>
      </c>
      <c r="Y57">
        <f t="shared" ca="1" si="12"/>
        <v>47.529130000000002</v>
      </c>
      <c r="Z57" s="19">
        <f t="shared" ca="1" si="16"/>
        <v>0.34</v>
      </c>
      <c r="AA57" s="19">
        <f t="shared" ca="1" si="16"/>
        <v>0.72</v>
      </c>
      <c r="AB57" s="19">
        <f t="shared" ca="1" si="16"/>
        <v>0.06</v>
      </c>
      <c r="AC57">
        <f t="shared" ca="1" si="13"/>
        <v>36.877279999999999</v>
      </c>
      <c r="AD57">
        <f t="shared" ca="1" si="14"/>
        <v>47.602550000000001</v>
      </c>
      <c r="AE57">
        <f t="shared" ca="1" si="6"/>
        <v>1071</v>
      </c>
      <c r="AF57">
        <f t="shared" ca="1" si="7"/>
        <v>36.107100000000003</v>
      </c>
      <c r="AI57" s="10" t="s">
        <v>39</v>
      </c>
      <c r="AJ57" t="str">
        <f t="shared" si="8"/>
        <v>BMP-2  #56</v>
      </c>
      <c r="AL57" s="10">
        <f t="shared" ca="1" si="9"/>
        <v>956</v>
      </c>
      <c r="AM57" s="10">
        <f t="shared" ca="1" si="10"/>
        <v>47.7956</v>
      </c>
    </row>
    <row r="58" spans="1:39" x14ac:dyDescent="0.25">
      <c r="A58" s="10">
        <v>57</v>
      </c>
      <c r="B58" s="10" t="s">
        <v>101</v>
      </c>
      <c r="C58" s="10" t="s">
        <v>15</v>
      </c>
      <c r="D58" s="10" t="s">
        <v>17</v>
      </c>
      <c r="E58" s="11">
        <v>36.669469999999997</v>
      </c>
      <c r="F58" s="11">
        <v>47.623530000000002</v>
      </c>
      <c r="G58" s="12">
        <v>3.5000000000000001E-3</v>
      </c>
      <c r="H58" s="13">
        <v>90</v>
      </c>
      <c r="I58" s="10">
        <v>50</v>
      </c>
      <c r="J58" s="10">
        <v>50</v>
      </c>
      <c r="K58" s="14">
        <v>1.2</v>
      </c>
      <c r="L58" s="10">
        <v>25</v>
      </c>
      <c r="M58" s="15">
        <v>0.65</v>
      </c>
      <c r="N58" s="10">
        <v>20</v>
      </c>
      <c r="O58" s="10">
        <v>8</v>
      </c>
      <c r="U58" s="20">
        <f t="shared" ca="1" si="15"/>
        <v>0.92</v>
      </c>
      <c r="V58" s="20">
        <f t="shared" ca="1" si="15"/>
        <v>0.61</v>
      </c>
      <c r="W58" s="20">
        <f t="shared" ca="1" si="15"/>
        <v>0.36</v>
      </c>
      <c r="X58">
        <f t="shared" ca="1" si="11"/>
        <v>36.706220000000002</v>
      </c>
      <c r="Y58">
        <f t="shared" ca="1" si="12"/>
        <v>47.600029999999997</v>
      </c>
      <c r="Z58" s="19">
        <f t="shared" ca="1" si="16"/>
        <v>0.38</v>
      </c>
      <c r="AA58" s="19">
        <f t="shared" ca="1" si="16"/>
        <v>0.03</v>
      </c>
      <c r="AB58" s="19">
        <f t="shared" ca="1" si="16"/>
        <v>0.55000000000000004</v>
      </c>
      <c r="AC58">
        <f t="shared" ca="1" si="13"/>
        <v>36.766449999999999</v>
      </c>
      <c r="AD58">
        <f t="shared" ca="1" si="14"/>
        <v>47.613419999999998</v>
      </c>
      <c r="AE58">
        <f t="shared" ca="1" si="6"/>
        <v>9990</v>
      </c>
      <c r="AF58">
        <f t="shared" ca="1" si="7"/>
        <v>36.999000000000002</v>
      </c>
      <c r="AI58" s="10" t="s">
        <v>40</v>
      </c>
      <c r="AJ58" t="str">
        <f t="shared" si="8"/>
        <v>BTR-80  #57</v>
      </c>
      <c r="AL58" s="10">
        <f t="shared" ca="1" si="9"/>
        <v>154</v>
      </c>
      <c r="AM58" s="10">
        <f t="shared" ca="1" si="10"/>
        <v>47.715400000000002</v>
      </c>
    </row>
    <row r="59" spans="1:39" x14ac:dyDescent="0.25">
      <c r="A59" s="10">
        <v>58</v>
      </c>
      <c r="B59" s="10" t="s">
        <v>102</v>
      </c>
      <c r="C59" s="10" t="s">
        <v>15</v>
      </c>
      <c r="D59" s="10" t="s">
        <v>18</v>
      </c>
      <c r="E59" s="11">
        <v>36.6</v>
      </c>
      <c r="F59" s="11">
        <v>47.566679999999998</v>
      </c>
      <c r="G59" s="12">
        <v>1.5E-3</v>
      </c>
      <c r="H59" s="13">
        <v>90</v>
      </c>
      <c r="I59" s="10">
        <v>100</v>
      </c>
      <c r="J59" s="10">
        <v>100</v>
      </c>
      <c r="K59" s="14">
        <v>0.4</v>
      </c>
      <c r="L59" s="10">
        <v>15</v>
      </c>
      <c r="M59" s="15">
        <v>0.6</v>
      </c>
      <c r="N59" s="10">
        <v>5</v>
      </c>
      <c r="O59" s="10">
        <v>10</v>
      </c>
      <c r="U59" s="20">
        <f t="shared" ca="1" si="15"/>
        <v>0.95</v>
      </c>
      <c r="V59" s="20">
        <f t="shared" ca="1" si="15"/>
        <v>0.72</v>
      </c>
      <c r="W59" s="20">
        <f t="shared" ca="1" si="15"/>
        <v>0.53</v>
      </c>
      <c r="X59">
        <f t="shared" ca="1" si="11"/>
        <v>36.729819999999997</v>
      </c>
      <c r="Y59">
        <f t="shared" ca="1" si="12"/>
        <v>47.620240000000003</v>
      </c>
      <c r="Z59" s="19">
        <f t="shared" ca="1" si="16"/>
        <v>0.77</v>
      </c>
      <c r="AA59" s="19">
        <f t="shared" ca="1" si="16"/>
        <v>0.71</v>
      </c>
      <c r="AB59" s="19">
        <f t="shared" ca="1" si="16"/>
        <v>0.67</v>
      </c>
      <c r="AC59">
        <f t="shared" ca="1" si="13"/>
        <v>36.819940000000003</v>
      </c>
      <c r="AD59">
        <f t="shared" ca="1" si="14"/>
        <v>47.670360000000002</v>
      </c>
      <c r="AE59">
        <f t="shared" ca="1" si="6"/>
        <v>5518</v>
      </c>
      <c r="AF59">
        <f t="shared" ca="1" si="7"/>
        <v>36.5518</v>
      </c>
      <c r="AI59" s="10" t="s">
        <v>41</v>
      </c>
      <c r="AJ59" t="str">
        <f t="shared" si="8"/>
        <v>Infantry Squad  #58</v>
      </c>
      <c r="AL59" s="10">
        <f t="shared" ca="1" si="9"/>
        <v>428</v>
      </c>
      <c r="AM59" s="10">
        <f t="shared" ca="1" si="10"/>
        <v>47.742800000000003</v>
      </c>
    </row>
    <row r="60" spans="1:39" x14ac:dyDescent="0.25">
      <c r="A60" s="10">
        <v>59</v>
      </c>
      <c r="B60" s="10" t="s">
        <v>103</v>
      </c>
      <c r="C60" s="10" t="s">
        <v>15</v>
      </c>
      <c r="D60" s="10" t="s">
        <v>18</v>
      </c>
      <c r="E60" s="11">
        <v>36.641129999999997</v>
      </c>
      <c r="F60" s="11">
        <v>47.579940000000001</v>
      </c>
      <c r="G60" s="12">
        <v>1.5E-3</v>
      </c>
      <c r="H60" s="13">
        <v>90</v>
      </c>
      <c r="I60" s="10">
        <v>100</v>
      </c>
      <c r="J60" s="10">
        <v>100</v>
      </c>
      <c r="K60" s="14">
        <v>0.4</v>
      </c>
      <c r="L60" s="10">
        <v>15</v>
      </c>
      <c r="M60" s="15">
        <v>0.6</v>
      </c>
      <c r="N60" s="10">
        <v>5</v>
      </c>
      <c r="O60" s="10">
        <v>10</v>
      </c>
      <c r="U60" s="20">
        <f t="shared" ca="1" si="15"/>
        <v>0.68</v>
      </c>
      <c r="V60" s="20">
        <f t="shared" ca="1" si="15"/>
        <v>0.9</v>
      </c>
      <c r="W60" s="20">
        <f t="shared" ca="1" si="15"/>
        <v>0.32</v>
      </c>
      <c r="X60">
        <f t="shared" ca="1" si="11"/>
        <v>36.725230000000003</v>
      </c>
      <c r="Y60">
        <f t="shared" ca="1" si="12"/>
        <v>47.570979999999999</v>
      </c>
      <c r="Z60" s="19">
        <f t="shared" ca="1" si="16"/>
        <v>0.04</v>
      </c>
      <c r="AA60" s="19">
        <f t="shared" ca="1" si="16"/>
        <v>0.05</v>
      </c>
      <c r="AB60" s="19">
        <f t="shared" ca="1" si="16"/>
        <v>0.16</v>
      </c>
      <c r="AC60">
        <f t="shared" ca="1" si="13"/>
        <v>36.783540000000002</v>
      </c>
      <c r="AD60">
        <f t="shared" ca="1" si="14"/>
        <v>47.601790000000001</v>
      </c>
      <c r="AE60">
        <f t="shared" ca="1" si="6"/>
        <v>4676</v>
      </c>
      <c r="AF60">
        <f t="shared" ca="1" si="7"/>
        <v>36.467599999999997</v>
      </c>
      <c r="AI60" s="10" t="s">
        <v>41</v>
      </c>
      <c r="AJ60" t="str">
        <f t="shared" si="8"/>
        <v>Infantry Squad  #59</v>
      </c>
      <c r="AL60" s="10">
        <f t="shared" ca="1" si="9"/>
        <v>988</v>
      </c>
      <c r="AM60" s="10">
        <f t="shared" ca="1" si="10"/>
        <v>47.7988</v>
      </c>
    </row>
    <row r="61" spans="1:39" x14ac:dyDescent="0.25">
      <c r="A61" s="10">
        <v>60</v>
      </c>
      <c r="B61" s="10" t="s">
        <v>104</v>
      </c>
      <c r="C61" s="10" t="s">
        <v>15</v>
      </c>
      <c r="D61" s="10" t="s">
        <v>18</v>
      </c>
      <c r="E61" s="11">
        <v>36.54372</v>
      </c>
      <c r="F61" s="11">
        <v>47.587429999999998</v>
      </c>
      <c r="G61" s="12">
        <v>1.5E-3</v>
      </c>
      <c r="H61" s="13">
        <v>90</v>
      </c>
      <c r="I61" s="10">
        <v>100</v>
      </c>
      <c r="J61" s="10">
        <v>100</v>
      </c>
      <c r="K61" s="14">
        <v>0.4</v>
      </c>
      <c r="L61" s="10">
        <v>15</v>
      </c>
      <c r="M61" s="15">
        <v>0.6</v>
      </c>
      <c r="N61" s="10">
        <v>5</v>
      </c>
      <c r="O61" s="10">
        <v>10</v>
      </c>
      <c r="U61" s="20">
        <f t="shared" ca="1" si="15"/>
        <v>0.18</v>
      </c>
      <c r="V61" s="20">
        <f t="shared" ca="1" si="15"/>
        <v>0.5</v>
      </c>
      <c r="W61" s="20">
        <f t="shared" ca="1" si="15"/>
        <v>0.95</v>
      </c>
      <c r="X61">
        <f t="shared" ca="1" si="11"/>
        <v>36.663640000000001</v>
      </c>
      <c r="Y61">
        <f t="shared" ca="1" si="12"/>
        <v>47.562109999999997</v>
      </c>
      <c r="Z61" s="19">
        <f t="shared" ca="1" si="16"/>
        <v>0.82</v>
      </c>
      <c r="AA61" s="19">
        <f t="shared" ca="1" si="16"/>
        <v>0.76</v>
      </c>
      <c r="AB61" s="19">
        <f t="shared" ca="1" si="16"/>
        <v>0.85</v>
      </c>
      <c r="AC61">
        <f t="shared" ca="1" si="13"/>
        <v>36.806669999999997</v>
      </c>
      <c r="AD61">
        <f t="shared" ca="1" si="14"/>
        <v>47.680639999999997</v>
      </c>
      <c r="AE61">
        <f t="shared" ca="1" si="6"/>
        <v>5793</v>
      </c>
      <c r="AF61">
        <f t="shared" ca="1" si="7"/>
        <v>36.579300000000003</v>
      </c>
      <c r="AI61" s="10" t="s">
        <v>41</v>
      </c>
      <c r="AJ61" t="str">
        <f t="shared" si="8"/>
        <v>Infantry Squad  #60</v>
      </c>
      <c r="AL61" s="10">
        <f t="shared" ca="1" si="9"/>
        <v>310</v>
      </c>
      <c r="AM61" s="10">
        <f t="shared" ca="1" si="10"/>
        <v>47.731000000000002</v>
      </c>
    </row>
    <row r="62" spans="1:39" x14ac:dyDescent="0.25">
      <c r="A62" s="10">
        <v>61</v>
      </c>
      <c r="B62" s="10" t="s">
        <v>105</v>
      </c>
      <c r="C62" s="10" t="s">
        <v>15</v>
      </c>
      <c r="D62" s="10" t="s">
        <v>16</v>
      </c>
      <c r="E62" s="11">
        <v>36.729460000000003</v>
      </c>
      <c r="F62" s="11">
        <v>47.583680000000001</v>
      </c>
      <c r="G62" s="12">
        <v>2E-3</v>
      </c>
      <c r="H62" s="13">
        <v>90</v>
      </c>
      <c r="I62" s="10">
        <v>100</v>
      </c>
      <c r="J62" s="10">
        <v>100</v>
      </c>
      <c r="K62" s="14">
        <v>2.5</v>
      </c>
      <c r="L62" s="10">
        <v>80</v>
      </c>
      <c r="M62" s="15">
        <v>0.75</v>
      </c>
      <c r="N62" s="10">
        <v>80</v>
      </c>
      <c r="O62" s="10">
        <v>3</v>
      </c>
      <c r="U62" s="20">
        <f t="shared" ca="1" si="15"/>
        <v>0.88</v>
      </c>
      <c r="V62" s="20">
        <f t="shared" ca="1" si="15"/>
        <v>0.89</v>
      </c>
      <c r="W62" s="20">
        <f t="shared" ca="1" si="15"/>
        <v>0.48</v>
      </c>
      <c r="X62">
        <f t="shared" ca="1" si="11"/>
        <v>36.739620000000002</v>
      </c>
      <c r="Y62">
        <f t="shared" ca="1" si="12"/>
        <v>47.601889999999997</v>
      </c>
      <c r="Z62" s="19">
        <f t="shared" ca="1" si="16"/>
        <v>0.5</v>
      </c>
      <c r="AA62" s="19">
        <f t="shared" ca="1" si="16"/>
        <v>0.06</v>
      </c>
      <c r="AB62" s="19">
        <f t="shared" ca="1" si="16"/>
        <v>0.16</v>
      </c>
      <c r="AC62">
        <f t="shared" ca="1" si="13"/>
        <v>36.782820000000001</v>
      </c>
      <c r="AD62">
        <f t="shared" ca="1" si="14"/>
        <v>47.61421</v>
      </c>
      <c r="AE62">
        <f t="shared" ca="1" si="6"/>
        <v>5171</v>
      </c>
      <c r="AF62">
        <f t="shared" ca="1" si="7"/>
        <v>36.517099999999999</v>
      </c>
      <c r="AI62" s="10" t="s">
        <v>37</v>
      </c>
      <c r="AJ62" t="str">
        <f t="shared" si="8"/>
        <v>T-72B3 Tank  #61</v>
      </c>
      <c r="AL62" s="10">
        <f t="shared" ca="1" si="9"/>
        <v>660</v>
      </c>
      <c r="AM62" s="10">
        <f t="shared" ca="1" si="10"/>
        <v>47.766000000000005</v>
      </c>
    </row>
    <row r="63" spans="1:39" x14ac:dyDescent="0.25">
      <c r="A63" s="10">
        <v>62</v>
      </c>
      <c r="B63" s="10" t="s">
        <v>106</v>
      </c>
      <c r="C63" s="10" t="s">
        <v>15</v>
      </c>
      <c r="D63" s="10" t="s">
        <v>16</v>
      </c>
      <c r="E63" s="11">
        <v>36.714469999999999</v>
      </c>
      <c r="F63" s="11">
        <v>47.547370000000001</v>
      </c>
      <c r="G63" s="12">
        <v>2E-3</v>
      </c>
      <c r="H63" s="13">
        <v>90</v>
      </c>
      <c r="I63" s="10">
        <v>100</v>
      </c>
      <c r="J63" s="10">
        <v>100</v>
      </c>
      <c r="K63" s="14">
        <v>2.5</v>
      </c>
      <c r="L63" s="10">
        <v>80</v>
      </c>
      <c r="M63" s="15">
        <v>0.75</v>
      </c>
      <c r="N63" s="10">
        <v>80</v>
      </c>
      <c r="O63" s="10">
        <v>3</v>
      </c>
      <c r="U63" s="20">
        <f t="shared" ca="1" si="15"/>
        <v>0.95</v>
      </c>
      <c r="V63" s="20">
        <f t="shared" ca="1" si="15"/>
        <v>0.13</v>
      </c>
      <c r="W63" s="20">
        <f t="shared" ca="1" si="15"/>
        <v>0.16</v>
      </c>
      <c r="X63">
        <f t="shared" ca="1" si="11"/>
        <v>36.641820000000003</v>
      </c>
      <c r="Y63">
        <f t="shared" ca="1" si="12"/>
        <v>47.639429999999997</v>
      </c>
      <c r="Z63" s="19">
        <f t="shared" ca="1" si="16"/>
        <v>0.3</v>
      </c>
      <c r="AA63" s="19">
        <f t="shared" ca="1" si="16"/>
        <v>0.35</v>
      </c>
      <c r="AB63" s="19">
        <f t="shared" ca="1" si="16"/>
        <v>0.43</v>
      </c>
      <c r="AC63">
        <f t="shared" ca="1" si="13"/>
        <v>36.838740000000001</v>
      </c>
      <c r="AD63">
        <f t="shared" ca="1" si="14"/>
        <v>47.612720000000003</v>
      </c>
      <c r="AE63">
        <f t="shared" ca="1" si="6"/>
        <v>4561</v>
      </c>
      <c r="AF63">
        <f t="shared" ca="1" si="7"/>
        <v>36.456099999999999</v>
      </c>
      <c r="AI63" s="10" t="s">
        <v>37</v>
      </c>
      <c r="AJ63" t="str">
        <f t="shared" si="8"/>
        <v>T-72B3 Tank  #62</v>
      </c>
      <c r="AL63" s="10">
        <f t="shared" ca="1" si="9"/>
        <v>194</v>
      </c>
      <c r="AM63" s="10">
        <f t="shared" ca="1" si="10"/>
        <v>47.7194</v>
      </c>
    </row>
    <row r="64" spans="1:39" x14ac:dyDescent="0.25">
      <c r="A64" s="10">
        <v>63</v>
      </c>
      <c r="B64" s="10" t="s">
        <v>107</v>
      </c>
      <c r="C64" s="10" t="s">
        <v>15</v>
      </c>
      <c r="D64" s="10" t="s">
        <v>16</v>
      </c>
      <c r="E64" s="11">
        <v>36.62135</v>
      </c>
      <c r="F64" s="11">
        <v>47.686140000000002</v>
      </c>
      <c r="G64" s="12">
        <v>2.5000000000000001E-3</v>
      </c>
      <c r="H64" s="13">
        <v>90</v>
      </c>
      <c r="I64" s="10">
        <v>110</v>
      </c>
      <c r="J64" s="10">
        <v>110</v>
      </c>
      <c r="K64" s="14">
        <v>2.8</v>
      </c>
      <c r="L64" s="10">
        <v>85</v>
      </c>
      <c r="M64" s="15">
        <v>0.78</v>
      </c>
      <c r="N64" s="10">
        <v>85</v>
      </c>
      <c r="O64" s="10">
        <v>3</v>
      </c>
      <c r="U64" s="20">
        <f t="shared" ca="1" si="15"/>
        <v>0.72</v>
      </c>
      <c r="V64" s="20">
        <f t="shared" ca="1" si="15"/>
        <v>0.31</v>
      </c>
      <c r="W64" s="20">
        <f t="shared" ca="1" si="15"/>
        <v>0.5</v>
      </c>
      <c r="X64">
        <f t="shared" ca="1" si="11"/>
        <v>36.683520000000001</v>
      </c>
      <c r="Y64">
        <f t="shared" ca="1" si="12"/>
        <v>47.64432</v>
      </c>
      <c r="Z64" s="19">
        <f t="shared" ca="1" si="16"/>
        <v>0.82</v>
      </c>
      <c r="AA64" s="19">
        <f t="shared" ca="1" si="16"/>
        <v>0.31</v>
      </c>
      <c r="AB64" s="19">
        <f t="shared" ca="1" si="16"/>
        <v>0.01</v>
      </c>
      <c r="AC64">
        <f t="shared" ca="1" si="13"/>
        <v>36.83296</v>
      </c>
      <c r="AD64">
        <f t="shared" ca="1" si="14"/>
        <v>47.628120000000003</v>
      </c>
      <c r="AE64">
        <f t="shared" ca="1" si="6"/>
        <v>2872</v>
      </c>
      <c r="AF64">
        <f t="shared" ca="1" si="7"/>
        <v>36.287199999999999</v>
      </c>
      <c r="AI64" s="10" t="s">
        <v>38</v>
      </c>
      <c r="AJ64" t="str">
        <f t="shared" si="8"/>
        <v>T-80BVM Tank  #63</v>
      </c>
      <c r="AL64" s="10">
        <f t="shared" ca="1" si="9"/>
        <v>472</v>
      </c>
      <c r="AM64" s="10">
        <f t="shared" ca="1" si="10"/>
        <v>47.747199999999999</v>
      </c>
    </row>
    <row r="65" spans="1:39" x14ac:dyDescent="0.25">
      <c r="A65" s="10">
        <v>64</v>
      </c>
      <c r="B65" s="10" t="s">
        <v>108</v>
      </c>
      <c r="C65" s="10" t="s">
        <v>15</v>
      </c>
      <c r="D65" s="10" t="s">
        <v>16</v>
      </c>
      <c r="E65" s="11">
        <v>36.631399999999999</v>
      </c>
      <c r="F65" s="11">
        <v>47.649650000000001</v>
      </c>
      <c r="G65" s="12">
        <v>2E-3</v>
      </c>
      <c r="H65" s="13">
        <v>90</v>
      </c>
      <c r="I65" s="10">
        <v>100</v>
      </c>
      <c r="J65" s="10">
        <v>100</v>
      </c>
      <c r="K65" s="14">
        <v>2.5</v>
      </c>
      <c r="L65" s="10">
        <v>80</v>
      </c>
      <c r="M65" s="15">
        <v>0.75</v>
      </c>
      <c r="N65" s="10">
        <v>80</v>
      </c>
      <c r="O65" s="10">
        <v>3</v>
      </c>
      <c r="U65" s="20">
        <f t="shared" ca="1" si="15"/>
        <v>0.76</v>
      </c>
      <c r="V65" s="20">
        <f t="shared" ca="1" si="15"/>
        <v>0.63</v>
      </c>
      <c r="W65" s="20">
        <f t="shared" ca="1" si="15"/>
        <v>0.72</v>
      </c>
      <c r="X65">
        <f t="shared" ca="1" si="11"/>
        <v>36.736519999999999</v>
      </c>
      <c r="Y65">
        <f t="shared" ca="1" si="12"/>
        <v>47.655549999999998</v>
      </c>
      <c r="Z65" s="19">
        <f t="shared" ca="1" si="16"/>
        <v>0.55000000000000004</v>
      </c>
      <c r="AA65" s="19">
        <f t="shared" ca="1" si="16"/>
        <v>0.43</v>
      </c>
      <c r="AB65" s="19">
        <f t="shared" ca="1" si="16"/>
        <v>0.27</v>
      </c>
      <c r="AC65">
        <f t="shared" ca="1" si="13"/>
        <v>36.830660000000002</v>
      </c>
      <c r="AD65">
        <f t="shared" ca="1" si="14"/>
        <v>47.641640000000002</v>
      </c>
      <c r="AE65">
        <f t="shared" ca="1" si="6"/>
        <v>9455</v>
      </c>
      <c r="AF65">
        <f t="shared" ca="1" si="7"/>
        <v>36.945500000000003</v>
      </c>
      <c r="AI65" s="10" t="s">
        <v>37</v>
      </c>
      <c r="AJ65" t="str">
        <f t="shared" si="8"/>
        <v>T-72B3 Tank  #64</v>
      </c>
      <c r="AL65" s="10">
        <f t="shared" ca="1" si="9"/>
        <v>450</v>
      </c>
      <c r="AM65" s="10">
        <f t="shared" ca="1" si="10"/>
        <v>47.745000000000005</v>
      </c>
    </row>
    <row r="66" spans="1:39" x14ac:dyDescent="0.25">
      <c r="A66" s="10">
        <v>65</v>
      </c>
      <c r="B66" s="10" t="s">
        <v>109</v>
      </c>
      <c r="C66" s="10" t="s">
        <v>15</v>
      </c>
      <c r="D66" s="10" t="s">
        <v>16</v>
      </c>
      <c r="E66" s="11">
        <v>36.709110000000003</v>
      </c>
      <c r="F66" s="11">
        <v>47.671639999999996</v>
      </c>
      <c r="G66" s="12">
        <v>2.5000000000000001E-3</v>
      </c>
      <c r="H66" s="13">
        <v>90</v>
      </c>
      <c r="I66" s="10">
        <v>110</v>
      </c>
      <c r="J66" s="10">
        <v>110</v>
      </c>
      <c r="K66" s="14">
        <v>2.8</v>
      </c>
      <c r="L66" s="10">
        <v>85</v>
      </c>
      <c r="M66" s="15">
        <v>0.78</v>
      </c>
      <c r="N66" s="10">
        <v>85</v>
      </c>
      <c r="O66" s="10">
        <v>3</v>
      </c>
      <c r="U66" s="20">
        <f t="shared" ca="1" si="15"/>
        <v>0.64</v>
      </c>
      <c r="V66" s="20">
        <f t="shared" ca="1" si="15"/>
        <v>0.79</v>
      </c>
      <c r="W66" s="20">
        <f t="shared" ca="1" si="15"/>
        <v>0.88</v>
      </c>
      <c r="X66">
        <f t="shared" ca="1" si="11"/>
        <v>36.767099999999999</v>
      </c>
      <c r="Y66">
        <f t="shared" ca="1" si="12"/>
        <v>47.678669999999997</v>
      </c>
      <c r="Z66" s="19">
        <f t="shared" ca="1" si="16"/>
        <v>0.06</v>
      </c>
      <c r="AA66" s="19">
        <f t="shared" ca="1" si="16"/>
        <v>0.53</v>
      </c>
      <c r="AB66" s="19">
        <f t="shared" ca="1" si="16"/>
        <v>0.52</v>
      </c>
      <c r="AC66">
        <f t="shared" ca="1" si="13"/>
        <v>36.859200000000001</v>
      </c>
      <c r="AD66">
        <f t="shared" ca="1" si="14"/>
        <v>47.618929999999999</v>
      </c>
      <c r="AE66">
        <f t="shared" ca="1" si="6"/>
        <v>7615</v>
      </c>
      <c r="AF66">
        <f t="shared" ca="1" si="7"/>
        <v>36.761499999999998</v>
      </c>
      <c r="AI66" s="10" t="s">
        <v>38</v>
      </c>
      <c r="AJ66" t="str">
        <f t="shared" si="8"/>
        <v>T-80BVM Tank  #65</v>
      </c>
      <c r="AL66" s="10">
        <f t="shared" ca="1" si="9"/>
        <v>962</v>
      </c>
      <c r="AM66" s="10">
        <f t="shared" ca="1" si="10"/>
        <v>47.796200000000006</v>
      </c>
    </row>
    <row r="67" spans="1:39" x14ac:dyDescent="0.25">
      <c r="A67" s="10">
        <v>66</v>
      </c>
      <c r="B67" s="10" t="s">
        <v>110</v>
      </c>
      <c r="C67" s="10" t="s">
        <v>15</v>
      </c>
      <c r="D67" s="10" t="s">
        <v>17</v>
      </c>
      <c r="E67" s="11">
        <v>36.644689999999997</v>
      </c>
      <c r="F67" s="11">
        <v>47.599710000000002</v>
      </c>
      <c r="G67" s="12">
        <v>3.0000000000000001E-3</v>
      </c>
      <c r="H67" s="13">
        <v>90</v>
      </c>
      <c r="I67" s="10">
        <v>60</v>
      </c>
      <c r="J67" s="10">
        <v>60</v>
      </c>
      <c r="K67" s="14">
        <v>1.5</v>
      </c>
      <c r="L67" s="10">
        <v>40</v>
      </c>
      <c r="M67" s="15">
        <v>0.7</v>
      </c>
      <c r="N67" s="10">
        <v>30</v>
      </c>
      <c r="O67" s="10">
        <v>7</v>
      </c>
      <c r="U67" s="20">
        <f t="shared" ca="1" si="15"/>
        <v>0.81</v>
      </c>
      <c r="V67" s="20">
        <f t="shared" ca="1" si="15"/>
        <v>0.68</v>
      </c>
      <c r="W67" s="20">
        <f t="shared" ca="1" si="15"/>
        <v>0.63</v>
      </c>
      <c r="X67">
        <f t="shared" ca="1" si="11"/>
        <v>36.734409999999997</v>
      </c>
      <c r="Y67">
        <f t="shared" ca="1" si="12"/>
        <v>47.638979999999997</v>
      </c>
      <c r="Z67" s="19">
        <f t="shared" ca="1" si="16"/>
        <v>0.57999999999999996</v>
      </c>
      <c r="AA67" s="19">
        <f t="shared" ca="1" si="16"/>
        <v>0.26</v>
      </c>
      <c r="AB67" s="19">
        <f t="shared" ca="1" si="16"/>
        <v>0.74</v>
      </c>
      <c r="AC67">
        <f t="shared" ca="1" si="13"/>
        <v>36.78875</v>
      </c>
      <c r="AD67">
        <f t="shared" ca="1" si="14"/>
        <v>47.644359999999999</v>
      </c>
      <c r="AE67">
        <f t="shared" ref="AE67:AE130" ca="1" si="17">RANDBETWEEN(0,10000)</f>
        <v>8433</v>
      </c>
      <c r="AF67">
        <f t="shared" ref="AF67:AF130" ca="1" si="18">36+AE67/10000</f>
        <v>36.843299999999999</v>
      </c>
      <c r="AI67" s="10" t="s">
        <v>39</v>
      </c>
      <c r="AJ67" t="str">
        <f t="shared" ref="AJ67:AJ130" si="19">CONCATENATE(AI67," #",A67)</f>
        <v>BMP-2  #66</v>
      </c>
      <c r="AL67" s="10">
        <f t="shared" ref="AL67:AL130" ca="1" si="20">RANDBETWEEN(0,1000)</f>
        <v>669</v>
      </c>
      <c r="AM67" s="10">
        <f t="shared" ref="AM67:AM130" ca="1" si="21">47.7+AL67/10000</f>
        <v>47.7669</v>
      </c>
    </row>
    <row r="68" spans="1:39" x14ac:dyDescent="0.25">
      <c r="A68" s="10">
        <v>67</v>
      </c>
      <c r="B68" s="10" t="s">
        <v>111</v>
      </c>
      <c r="C68" s="10" t="s">
        <v>15</v>
      </c>
      <c r="D68" s="10" t="s">
        <v>17</v>
      </c>
      <c r="E68" s="11">
        <v>36.67353</v>
      </c>
      <c r="F68" s="11">
        <v>47.617280000000001</v>
      </c>
      <c r="G68" s="12">
        <v>3.0000000000000001E-3</v>
      </c>
      <c r="H68" s="13">
        <v>90</v>
      </c>
      <c r="I68" s="10">
        <v>60</v>
      </c>
      <c r="J68" s="10">
        <v>60</v>
      </c>
      <c r="K68" s="14">
        <v>1.5</v>
      </c>
      <c r="L68" s="10">
        <v>40</v>
      </c>
      <c r="M68" s="15">
        <v>0.7</v>
      </c>
      <c r="N68" s="10">
        <v>30</v>
      </c>
      <c r="O68" s="10">
        <v>7</v>
      </c>
      <c r="U68" s="20">
        <f t="shared" ca="1" si="15"/>
        <v>0.52</v>
      </c>
      <c r="V68" s="20">
        <f t="shared" ca="1" si="15"/>
        <v>0.85</v>
      </c>
      <c r="W68" s="20">
        <f t="shared" ca="1" si="15"/>
        <v>0.28999999999999998</v>
      </c>
      <c r="X68">
        <f t="shared" ca="1" si="11"/>
        <v>36.71893</v>
      </c>
      <c r="Y68">
        <f t="shared" ca="1" si="12"/>
        <v>47.56908</v>
      </c>
      <c r="Z68" s="19">
        <f t="shared" ca="1" si="16"/>
        <v>7.0000000000000007E-2</v>
      </c>
      <c r="AA68" s="19">
        <f t="shared" ca="1" si="16"/>
        <v>0.76</v>
      </c>
      <c r="AB68" s="19">
        <f t="shared" ca="1" si="16"/>
        <v>0.55000000000000004</v>
      </c>
      <c r="AC68">
        <f t="shared" ca="1" si="13"/>
        <v>36.880769999999998</v>
      </c>
      <c r="AD68">
        <f t="shared" ca="1" si="14"/>
        <v>47.62397</v>
      </c>
      <c r="AE68">
        <f t="shared" ca="1" si="17"/>
        <v>8299</v>
      </c>
      <c r="AF68">
        <f t="shared" ca="1" si="18"/>
        <v>36.829900000000002</v>
      </c>
      <c r="AI68" s="10" t="s">
        <v>39</v>
      </c>
      <c r="AJ68" t="str">
        <f t="shared" si="19"/>
        <v>BMP-2  #67</v>
      </c>
      <c r="AL68" s="10">
        <f t="shared" ca="1" si="20"/>
        <v>148</v>
      </c>
      <c r="AM68" s="10">
        <f t="shared" ca="1" si="21"/>
        <v>47.714800000000004</v>
      </c>
    </row>
    <row r="69" spans="1:39" x14ac:dyDescent="0.25">
      <c r="A69" s="10">
        <v>68</v>
      </c>
      <c r="B69" s="10" t="s">
        <v>112</v>
      </c>
      <c r="C69" s="10" t="s">
        <v>15</v>
      </c>
      <c r="D69" s="10" t="s">
        <v>17</v>
      </c>
      <c r="E69" s="11">
        <v>36.553959999999996</v>
      </c>
      <c r="F69" s="11">
        <v>47.65108</v>
      </c>
      <c r="G69" s="12">
        <v>3.5000000000000001E-3</v>
      </c>
      <c r="H69" s="13">
        <v>90</v>
      </c>
      <c r="I69" s="10">
        <v>50</v>
      </c>
      <c r="J69" s="10">
        <v>50</v>
      </c>
      <c r="K69" s="14">
        <v>1.2</v>
      </c>
      <c r="L69" s="10">
        <v>25</v>
      </c>
      <c r="M69" s="15">
        <v>0.65</v>
      </c>
      <c r="N69" s="10">
        <v>20</v>
      </c>
      <c r="O69" s="10">
        <v>8</v>
      </c>
      <c r="U69" s="20">
        <f t="shared" ca="1" si="15"/>
        <v>0.34</v>
      </c>
      <c r="V69" s="20">
        <f t="shared" ca="1" si="15"/>
        <v>0.76</v>
      </c>
      <c r="W69" s="20">
        <f t="shared" ca="1" si="15"/>
        <v>0.48</v>
      </c>
      <c r="X69">
        <f t="shared" ca="1" si="11"/>
        <v>36.596510000000002</v>
      </c>
      <c r="Y69">
        <f t="shared" ca="1" si="12"/>
        <v>47.570979999999999</v>
      </c>
      <c r="Z69" s="19">
        <f t="shared" ca="1" si="16"/>
        <v>0.41</v>
      </c>
      <c r="AA69" s="19">
        <f t="shared" ca="1" si="16"/>
        <v>0.18</v>
      </c>
      <c r="AB69" s="19">
        <f t="shared" ca="1" si="16"/>
        <v>0.54</v>
      </c>
      <c r="AC69">
        <f t="shared" ca="1" si="13"/>
        <v>36.790730000000003</v>
      </c>
      <c r="AD69">
        <f t="shared" ca="1" si="14"/>
        <v>47.632669999999997</v>
      </c>
      <c r="AE69">
        <f t="shared" ca="1" si="17"/>
        <v>8653</v>
      </c>
      <c r="AF69">
        <f t="shared" ca="1" si="18"/>
        <v>36.865299999999998</v>
      </c>
      <c r="AI69" s="10" t="s">
        <v>40</v>
      </c>
      <c r="AJ69" t="str">
        <f t="shared" si="19"/>
        <v>BTR-80  #68</v>
      </c>
      <c r="AL69" s="10">
        <f t="shared" ca="1" si="20"/>
        <v>457</v>
      </c>
      <c r="AM69" s="10">
        <f t="shared" ca="1" si="21"/>
        <v>47.745699999999999</v>
      </c>
    </row>
    <row r="70" spans="1:39" x14ac:dyDescent="0.25">
      <c r="A70" s="10">
        <v>69</v>
      </c>
      <c r="B70" s="10" t="s">
        <v>113</v>
      </c>
      <c r="C70" s="10" t="s">
        <v>15</v>
      </c>
      <c r="D70" s="10" t="s">
        <v>17</v>
      </c>
      <c r="E70" s="11">
        <v>36.641129999999997</v>
      </c>
      <c r="F70" s="11">
        <v>47.649590000000003</v>
      </c>
      <c r="G70" s="12">
        <v>3.0000000000000001E-3</v>
      </c>
      <c r="H70" s="13">
        <v>90</v>
      </c>
      <c r="I70" s="10">
        <v>60</v>
      </c>
      <c r="J70" s="10">
        <v>60</v>
      </c>
      <c r="K70" s="14">
        <v>1.5</v>
      </c>
      <c r="L70" s="10">
        <v>40</v>
      </c>
      <c r="M70" s="15">
        <v>0.7</v>
      </c>
      <c r="N70" s="10">
        <v>30</v>
      </c>
      <c r="O70" s="10">
        <v>7</v>
      </c>
      <c r="U70" s="20">
        <f t="shared" ca="1" si="15"/>
        <v>0.98</v>
      </c>
      <c r="V70" s="20">
        <f t="shared" ca="1" si="15"/>
        <v>0.61</v>
      </c>
      <c r="W70" s="20">
        <f t="shared" ca="1" si="15"/>
        <v>0.17</v>
      </c>
      <c r="X70">
        <f t="shared" ca="1" si="11"/>
        <v>36.691380000000002</v>
      </c>
      <c r="Y70">
        <f t="shared" ca="1" si="12"/>
        <v>47.570349999999998</v>
      </c>
      <c r="Z70" s="19">
        <f t="shared" ca="1" si="16"/>
        <v>0.56000000000000005</v>
      </c>
      <c r="AA70" s="19">
        <f t="shared" ca="1" si="16"/>
        <v>0.17</v>
      </c>
      <c r="AB70" s="19">
        <f t="shared" ca="1" si="16"/>
        <v>0.03</v>
      </c>
      <c r="AC70">
        <f t="shared" ca="1" si="13"/>
        <v>36.810609999999997</v>
      </c>
      <c r="AD70">
        <f t="shared" ca="1" si="14"/>
        <v>47.621229999999997</v>
      </c>
      <c r="AE70">
        <f t="shared" ca="1" si="17"/>
        <v>2992</v>
      </c>
      <c r="AF70">
        <f t="shared" ca="1" si="18"/>
        <v>36.299199999999999</v>
      </c>
      <c r="AI70" s="10" t="s">
        <v>39</v>
      </c>
      <c r="AJ70" t="str">
        <f t="shared" si="19"/>
        <v>BMP-2  #69</v>
      </c>
      <c r="AL70" s="10">
        <f t="shared" ca="1" si="20"/>
        <v>292</v>
      </c>
      <c r="AM70" s="10">
        <f t="shared" ca="1" si="21"/>
        <v>47.729200000000006</v>
      </c>
    </row>
    <row r="71" spans="1:39" x14ac:dyDescent="0.25">
      <c r="A71" s="10">
        <v>70</v>
      </c>
      <c r="B71" s="10" t="s">
        <v>114</v>
      </c>
      <c r="C71" s="10" t="s">
        <v>15</v>
      </c>
      <c r="D71" s="10" t="s">
        <v>17</v>
      </c>
      <c r="E71" s="11">
        <v>36.748919999999998</v>
      </c>
      <c r="F71" s="11">
        <v>47.698500000000003</v>
      </c>
      <c r="G71" s="12">
        <v>3.0000000000000001E-3</v>
      </c>
      <c r="H71" s="13">
        <v>90</v>
      </c>
      <c r="I71" s="10">
        <v>60</v>
      </c>
      <c r="J71" s="10">
        <v>60</v>
      </c>
      <c r="K71" s="14">
        <v>1.5</v>
      </c>
      <c r="L71" s="10">
        <v>40</v>
      </c>
      <c r="M71" s="15">
        <v>0.7</v>
      </c>
      <c r="N71" s="10">
        <v>30</v>
      </c>
      <c r="O71" s="10">
        <v>7</v>
      </c>
      <c r="U71" s="20">
        <f t="shared" ca="1" si="15"/>
        <v>0.85</v>
      </c>
      <c r="V71" s="20">
        <f t="shared" ca="1" si="15"/>
        <v>0.42</v>
      </c>
      <c r="W71" s="20">
        <f t="shared" ca="1" si="15"/>
        <v>0.22</v>
      </c>
      <c r="X71">
        <f t="shared" ca="1" si="11"/>
        <v>36.679070000000003</v>
      </c>
      <c r="Y71">
        <f t="shared" ca="1" si="12"/>
        <v>47.5989</v>
      </c>
      <c r="Z71" s="19">
        <f t="shared" ca="1" si="16"/>
        <v>0.6</v>
      </c>
      <c r="AA71" s="19">
        <f t="shared" ca="1" si="16"/>
        <v>0.93</v>
      </c>
      <c r="AB71" s="19">
        <f t="shared" ca="1" si="16"/>
        <v>0.39</v>
      </c>
      <c r="AC71">
        <f t="shared" ca="1" si="13"/>
        <v>36.857039999999998</v>
      </c>
      <c r="AD71">
        <f t="shared" ca="1" si="14"/>
        <v>47.667020000000001</v>
      </c>
      <c r="AE71">
        <f t="shared" ca="1" si="17"/>
        <v>6466</v>
      </c>
      <c r="AF71">
        <f t="shared" ca="1" si="18"/>
        <v>36.646599999999999</v>
      </c>
      <c r="AI71" s="10" t="s">
        <v>39</v>
      </c>
      <c r="AJ71" t="str">
        <f t="shared" si="19"/>
        <v>BMP-2  #70</v>
      </c>
      <c r="AL71" s="10">
        <f t="shared" ca="1" si="20"/>
        <v>725</v>
      </c>
      <c r="AM71" s="10">
        <f t="shared" ca="1" si="21"/>
        <v>47.772500000000001</v>
      </c>
    </row>
    <row r="72" spans="1:39" x14ac:dyDescent="0.25">
      <c r="A72" s="10">
        <v>71</v>
      </c>
      <c r="B72" s="10" t="s">
        <v>115</v>
      </c>
      <c r="C72" s="10" t="s">
        <v>15</v>
      </c>
      <c r="D72" s="10" t="s">
        <v>17</v>
      </c>
      <c r="E72" s="11">
        <v>36.677790000000002</v>
      </c>
      <c r="F72" s="11">
        <v>47.602600000000002</v>
      </c>
      <c r="G72" s="12">
        <v>3.5000000000000001E-3</v>
      </c>
      <c r="H72" s="13">
        <v>90</v>
      </c>
      <c r="I72" s="10">
        <v>50</v>
      </c>
      <c r="J72" s="10">
        <v>50</v>
      </c>
      <c r="K72" s="14">
        <v>1.2</v>
      </c>
      <c r="L72" s="10">
        <v>25</v>
      </c>
      <c r="M72" s="15">
        <v>0.65</v>
      </c>
      <c r="N72" s="10">
        <v>20</v>
      </c>
      <c r="O72" s="10">
        <v>8</v>
      </c>
      <c r="U72" s="20">
        <f t="shared" ca="1" si="15"/>
        <v>0.2</v>
      </c>
      <c r="V72" s="20">
        <f t="shared" ca="1" si="15"/>
        <v>0.59</v>
      </c>
      <c r="W72" s="20">
        <f t="shared" ca="1" si="15"/>
        <v>0.13</v>
      </c>
      <c r="X72">
        <f t="shared" ca="1" si="11"/>
        <v>36.54316</v>
      </c>
      <c r="Y72">
        <f t="shared" ca="1" si="12"/>
        <v>47.613199999999999</v>
      </c>
      <c r="Z72" s="19">
        <f t="shared" ca="1" si="16"/>
        <v>0.43</v>
      </c>
      <c r="AA72" s="19">
        <f t="shared" ca="1" si="16"/>
        <v>0.85</v>
      </c>
      <c r="AB72" s="19">
        <f t="shared" ca="1" si="16"/>
        <v>0.53</v>
      </c>
      <c r="AC72">
        <f t="shared" ca="1" si="13"/>
        <v>36.83943</v>
      </c>
      <c r="AD72">
        <f t="shared" ca="1" si="14"/>
        <v>47.670529999999999</v>
      </c>
      <c r="AE72">
        <f t="shared" ca="1" si="17"/>
        <v>4844</v>
      </c>
      <c r="AF72">
        <f t="shared" ca="1" si="18"/>
        <v>36.484400000000001</v>
      </c>
      <c r="AI72" s="10" t="s">
        <v>40</v>
      </c>
      <c r="AJ72" t="str">
        <f t="shared" si="19"/>
        <v>BTR-80  #71</v>
      </c>
      <c r="AL72" s="10">
        <f t="shared" ca="1" si="20"/>
        <v>883</v>
      </c>
      <c r="AM72" s="10">
        <f t="shared" ca="1" si="21"/>
        <v>47.7883</v>
      </c>
    </row>
    <row r="73" spans="1:39" x14ac:dyDescent="0.25">
      <c r="A73" s="10">
        <v>72</v>
      </c>
      <c r="B73" s="10" t="s">
        <v>116</v>
      </c>
      <c r="C73" s="10" t="s">
        <v>15</v>
      </c>
      <c r="D73" s="10" t="s">
        <v>17</v>
      </c>
      <c r="E73" s="11">
        <v>36.721510000000002</v>
      </c>
      <c r="F73" s="11">
        <v>47.557270000000003</v>
      </c>
      <c r="G73" s="12">
        <v>3.0000000000000001E-3</v>
      </c>
      <c r="H73" s="13">
        <v>90</v>
      </c>
      <c r="I73" s="10">
        <v>60</v>
      </c>
      <c r="J73" s="10">
        <v>60</v>
      </c>
      <c r="K73" s="14">
        <v>1.5</v>
      </c>
      <c r="L73" s="10">
        <v>40</v>
      </c>
      <c r="M73" s="15">
        <v>0.7</v>
      </c>
      <c r="N73" s="10">
        <v>30</v>
      </c>
      <c r="O73" s="10">
        <v>7</v>
      </c>
      <c r="U73" s="20">
        <f t="shared" ca="1" si="15"/>
        <v>0.04</v>
      </c>
      <c r="V73" s="20">
        <f t="shared" ca="1" si="15"/>
        <v>0.23</v>
      </c>
      <c r="W73" s="20">
        <f t="shared" ca="1" si="15"/>
        <v>0.75</v>
      </c>
      <c r="X73">
        <f t="shared" ca="1" si="11"/>
        <v>36.623980000000003</v>
      </c>
      <c r="Y73">
        <f t="shared" ca="1" si="12"/>
        <v>47.616070000000001</v>
      </c>
      <c r="Z73" s="19">
        <f t="shared" ca="1" si="16"/>
        <v>0.05</v>
      </c>
      <c r="AA73" s="19">
        <f t="shared" ca="1" si="16"/>
        <v>0.6</v>
      </c>
      <c r="AB73" s="19">
        <f t="shared" ca="1" si="16"/>
        <v>1</v>
      </c>
      <c r="AC73">
        <f t="shared" ca="1" si="13"/>
        <v>36.866190000000003</v>
      </c>
      <c r="AD73">
        <f t="shared" ca="1" si="14"/>
        <v>47.638730000000002</v>
      </c>
      <c r="AE73">
        <f t="shared" ca="1" si="17"/>
        <v>2162</v>
      </c>
      <c r="AF73">
        <f t="shared" ca="1" si="18"/>
        <v>36.216200000000001</v>
      </c>
      <c r="AI73" s="10" t="s">
        <v>39</v>
      </c>
      <c r="AJ73" t="str">
        <f t="shared" si="19"/>
        <v>BMP-2  #72</v>
      </c>
      <c r="AL73" s="10">
        <f t="shared" ca="1" si="20"/>
        <v>892</v>
      </c>
      <c r="AM73" s="10">
        <f t="shared" ca="1" si="21"/>
        <v>47.789200000000001</v>
      </c>
    </row>
    <row r="74" spans="1:39" x14ac:dyDescent="0.25">
      <c r="A74" s="10">
        <v>73</v>
      </c>
      <c r="B74" s="10" t="s">
        <v>117</v>
      </c>
      <c r="C74" s="10" t="s">
        <v>15</v>
      </c>
      <c r="D74" s="10" t="s">
        <v>17</v>
      </c>
      <c r="E74" s="11">
        <v>36.692880000000002</v>
      </c>
      <c r="F74" s="11">
        <v>47.649120000000003</v>
      </c>
      <c r="G74" s="12">
        <v>3.0000000000000001E-3</v>
      </c>
      <c r="H74" s="13">
        <v>90</v>
      </c>
      <c r="I74" s="10">
        <v>60</v>
      </c>
      <c r="J74" s="10">
        <v>60</v>
      </c>
      <c r="K74" s="14">
        <v>1.5</v>
      </c>
      <c r="L74" s="10">
        <v>40</v>
      </c>
      <c r="M74" s="15">
        <v>0.7</v>
      </c>
      <c r="N74" s="10">
        <v>30</v>
      </c>
      <c r="O74" s="10">
        <v>7</v>
      </c>
      <c r="U74" s="20">
        <f t="shared" ca="1" si="15"/>
        <v>0.97</v>
      </c>
      <c r="V74" s="20">
        <f t="shared" ca="1" si="15"/>
        <v>0.52</v>
      </c>
      <c r="W74" s="20">
        <f t="shared" ca="1" si="15"/>
        <v>0.14000000000000001</v>
      </c>
      <c r="X74">
        <f t="shared" ca="1" si="11"/>
        <v>36.682209999999998</v>
      </c>
      <c r="Y74">
        <f t="shared" ca="1" si="12"/>
        <v>47.575969999999998</v>
      </c>
      <c r="Z74" s="19">
        <f t="shared" ca="1" si="16"/>
        <v>0.22</v>
      </c>
      <c r="AA74" s="19">
        <f t="shared" ca="1" si="16"/>
        <v>0.42</v>
      </c>
      <c r="AB74" s="19">
        <f t="shared" ca="1" si="16"/>
        <v>0.35</v>
      </c>
      <c r="AC74">
        <f t="shared" ca="1" si="13"/>
        <v>36.847209999999997</v>
      </c>
      <c r="AD74">
        <f t="shared" ca="1" si="14"/>
        <v>47.611339999999998</v>
      </c>
      <c r="AE74">
        <f t="shared" ca="1" si="17"/>
        <v>3648</v>
      </c>
      <c r="AF74">
        <f t="shared" ca="1" si="18"/>
        <v>36.364800000000002</v>
      </c>
      <c r="AI74" s="10" t="s">
        <v>39</v>
      </c>
      <c r="AJ74" t="str">
        <f t="shared" si="19"/>
        <v>BMP-2  #73</v>
      </c>
      <c r="AL74" s="10">
        <f t="shared" ca="1" si="20"/>
        <v>26</v>
      </c>
      <c r="AM74" s="10">
        <f t="shared" ca="1" si="21"/>
        <v>47.702600000000004</v>
      </c>
    </row>
    <row r="75" spans="1:39" x14ac:dyDescent="0.25">
      <c r="A75" s="10">
        <v>74</v>
      </c>
      <c r="B75" s="10" t="s">
        <v>118</v>
      </c>
      <c r="C75" s="10" t="s">
        <v>15</v>
      </c>
      <c r="D75" s="10" t="s">
        <v>17</v>
      </c>
      <c r="E75" s="11">
        <v>36.725949999999997</v>
      </c>
      <c r="F75" s="11">
        <v>47.660690000000002</v>
      </c>
      <c r="G75" s="12">
        <v>3.5000000000000001E-3</v>
      </c>
      <c r="H75" s="13">
        <v>90</v>
      </c>
      <c r="I75" s="10">
        <v>50</v>
      </c>
      <c r="J75" s="10">
        <v>50</v>
      </c>
      <c r="K75" s="14">
        <v>1.2</v>
      </c>
      <c r="L75" s="10">
        <v>25</v>
      </c>
      <c r="M75" s="15">
        <v>0.65</v>
      </c>
      <c r="N75" s="10">
        <v>20</v>
      </c>
      <c r="O75" s="10">
        <v>8</v>
      </c>
      <c r="U75" s="20">
        <f t="shared" ca="1" si="15"/>
        <v>0.32</v>
      </c>
      <c r="V75" s="20">
        <f t="shared" ca="1" si="15"/>
        <v>0.24</v>
      </c>
      <c r="W75" s="20">
        <f t="shared" ca="1" si="15"/>
        <v>0.33</v>
      </c>
      <c r="X75">
        <f t="shared" ca="1" si="11"/>
        <v>36.58334</v>
      </c>
      <c r="Y75">
        <f t="shared" ca="1" si="12"/>
        <v>47.634839999999997</v>
      </c>
      <c r="Z75" s="19">
        <f t="shared" ca="1" si="16"/>
        <v>0.85</v>
      </c>
      <c r="AA75" s="19">
        <f t="shared" ca="1" si="16"/>
        <v>0.69</v>
      </c>
      <c r="AB75" s="19">
        <f t="shared" ca="1" si="16"/>
        <v>0.12</v>
      </c>
      <c r="AC75">
        <f t="shared" ca="1" si="13"/>
        <v>36.864629999999998</v>
      </c>
      <c r="AD75">
        <f t="shared" ca="1" si="14"/>
        <v>47.646520000000002</v>
      </c>
      <c r="AE75">
        <f t="shared" ca="1" si="17"/>
        <v>6242</v>
      </c>
      <c r="AF75">
        <f t="shared" ca="1" si="18"/>
        <v>36.624200000000002</v>
      </c>
      <c r="AI75" s="10" t="s">
        <v>40</v>
      </c>
      <c r="AJ75" t="str">
        <f t="shared" si="19"/>
        <v>BTR-80  #74</v>
      </c>
      <c r="AL75" s="10">
        <f t="shared" ca="1" si="20"/>
        <v>657</v>
      </c>
      <c r="AM75" s="10">
        <f t="shared" ca="1" si="21"/>
        <v>47.765700000000002</v>
      </c>
    </row>
    <row r="76" spans="1:39" x14ac:dyDescent="0.25">
      <c r="A76" s="10">
        <v>75</v>
      </c>
      <c r="B76" s="10" t="s">
        <v>119</v>
      </c>
      <c r="C76" s="10" t="s">
        <v>15</v>
      </c>
      <c r="D76" s="10" t="s">
        <v>17</v>
      </c>
      <c r="E76" s="11">
        <v>36.713619999999999</v>
      </c>
      <c r="F76" s="11">
        <v>47.650120000000001</v>
      </c>
      <c r="G76" s="12">
        <v>3.0000000000000001E-3</v>
      </c>
      <c r="H76" s="13">
        <v>90</v>
      </c>
      <c r="I76" s="10">
        <v>60</v>
      </c>
      <c r="J76" s="10">
        <v>60</v>
      </c>
      <c r="K76" s="14">
        <v>1.5</v>
      </c>
      <c r="L76" s="10">
        <v>40</v>
      </c>
      <c r="M76" s="15">
        <v>0.7</v>
      </c>
      <c r="N76" s="10">
        <v>30</v>
      </c>
      <c r="O76" s="10">
        <v>7</v>
      </c>
      <c r="U76" s="20">
        <f t="shared" ca="1" si="15"/>
        <v>0.97</v>
      </c>
      <c r="V76" s="20">
        <f t="shared" ca="1" si="15"/>
        <v>0.6</v>
      </c>
      <c r="W76" s="20">
        <f t="shared" ca="1" si="15"/>
        <v>0.84</v>
      </c>
      <c r="X76">
        <f t="shared" ca="1" si="11"/>
        <v>36.742530000000002</v>
      </c>
      <c r="Y76">
        <f t="shared" ca="1" si="12"/>
        <v>47.67521</v>
      </c>
      <c r="Z76" s="19">
        <f t="shared" ca="1" si="16"/>
        <v>0.46</v>
      </c>
      <c r="AA76" s="19">
        <f t="shared" ca="1" si="16"/>
        <v>0.78</v>
      </c>
      <c r="AB76" s="19">
        <f t="shared" ca="1" si="16"/>
        <v>0.75</v>
      </c>
      <c r="AC76">
        <f t="shared" ca="1" si="13"/>
        <v>36.816240000000001</v>
      </c>
      <c r="AD76">
        <f t="shared" ca="1" si="14"/>
        <v>47.677280000000003</v>
      </c>
      <c r="AE76">
        <f t="shared" ca="1" si="17"/>
        <v>2804</v>
      </c>
      <c r="AF76">
        <f t="shared" ca="1" si="18"/>
        <v>36.2804</v>
      </c>
      <c r="AI76" s="10" t="s">
        <v>39</v>
      </c>
      <c r="AJ76" t="str">
        <f t="shared" si="19"/>
        <v>BMP-2  #75</v>
      </c>
      <c r="AL76" s="10">
        <f t="shared" ca="1" si="20"/>
        <v>255</v>
      </c>
      <c r="AM76" s="10">
        <f t="shared" ca="1" si="21"/>
        <v>47.725500000000004</v>
      </c>
    </row>
    <row r="77" spans="1:39" x14ac:dyDescent="0.25">
      <c r="A77" s="10">
        <v>76</v>
      </c>
      <c r="B77" s="10" t="s">
        <v>120</v>
      </c>
      <c r="C77" s="10" t="s">
        <v>15</v>
      </c>
      <c r="D77" s="10" t="s">
        <v>17</v>
      </c>
      <c r="E77" s="11">
        <v>36.623199999999997</v>
      </c>
      <c r="F77" s="11">
        <v>47.628399999999999</v>
      </c>
      <c r="G77" s="12">
        <v>3.0000000000000001E-3</v>
      </c>
      <c r="H77" s="13">
        <v>90</v>
      </c>
      <c r="I77" s="10">
        <v>60</v>
      </c>
      <c r="J77" s="10">
        <v>60</v>
      </c>
      <c r="K77" s="14">
        <v>1.5</v>
      </c>
      <c r="L77" s="10">
        <v>40</v>
      </c>
      <c r="M77" s="15">
        <v>0.7</v>
      </c>
      <c r="N77" s="10">
        <v>30</v>
      </c>
      <c r="O77" s="10">
        <v>7</v>
      </c>
      <c r="U77" s="20">
        <f t="shared" ca="1" si="15"/>
        <v>0.9</v>
      </c>
      <c r="V77" s="20">
        <f t="shared" ca="1" si="15"/>
        <v>0.19</v>
      </c>
      <c r="W77" s="20">
        <f t="shared" ca="1" si="15"/>
        <v>0.45</v>
      </c>
      <c r="X77">
        <f t="shared" ca="1" si="11"/>
        <v>36.663200000000003</v>
      </c>
      <c r="Y77">
        <f t="shared" ca="1" si="12"/>
        <v>47.652050000000003</v>
      </c>
      <c r="Z77" s="19">
        <f t="shared" ca="1" si="16"/>
        <v>0.37</v>
      </c>
      <c r="AA77" s="19">
        <f t="shared" ca="1" si="16"/>
        <v>0.22</v>
      </c>
      <c r="AB77" s="19">
        <f t="shared" ca="1" si="16"/>
        <v>0.47</v>
      </c>
      <c r="AC77">
        <f t="shared" ca="1" si="13"/>
        <v>36.820360000000001</v>
      </c>
      <c r="AD77">
        <f t="shared" ca="1" si="14"/>
        <v>47.611020000000003</v>
      </c>
      <c r="AE77">
        <f t="shared" ca="1" si="17"/>
        <v>4441</v>
      </c>
      <c r="AF77">
        <f t="shared" ca="1" si="18"/>
        <v>36.444099999999999</v>
      </c>
      <c r="AI77" s="10" t="s">
        <v>39</v>
      </c>
      <c r="AJ77" t="str">
        <f t="shared" si="19"/>
        <v>BMP-2  #76</v>
      </c>
      <c r="AL77" s="10">
        <f t="shared" ca="1" si="20"/>
        <v>82</v>
      </c>
      <c r="AM77" s="10">
        <f t="shared" ca="1" si="21"/>
        <v>47.708200000000005</v>
      </c>
    </row>
    <row r="78" spans="1:39" x14ac:dyDescent="0.25">
      <c r="A78" s="10">
        <v>77</v>
      </c>
      <c r="B78" s="10" t="s">
        <v>121</v>
      </c>
      <c r="C78" s="10" t="s">
        <v>15</v>
      </c>
      <c r="D78" s="10" t="s">
        <v>17</v>
      </c>
      <c r="E78" s="11">
        <v>36.697659999999999</v>
      </c>
      <c r="F78" s="11">
        <v>47.665529999999997</v>
      </c>
      <c r="G78" s="12">
        <v>3.5000000000000001E-3</v>
      </c>
      <c r="H78" s="13">
        <v>90</v>
      </c>
      <c r="I78" s="10">
        <v>50</v>
      </c>
      <c r="J78" s="10">
        <v>50</v>
      </c>
      <c r="K78" s="14">
        <v>1.2</v>
      </c>
      <c r="L78" s="10">
        <v>25</v>
      </c>
      <c r="M78" s="15">
        <v>0.65</v>
      </c>
      <c r="N78" s="10">
        <v>20</v>
      </c>
      <c r="O78" s="10">
        <v>8</v>
      </c>
      <c r="U78" s="20">
        <f t="shared" ca="1" si="15"/>
        <v>0.51</v>
      </c>
      <c r="V78" s="20">
        <f t="shared" ca="1" si="15"/>
        <v>0.84</v>
      </c>
      <c r="W78" s="20">
        <f t="shared" ca="1" si="15"/>
        <v>0.77</v>
      </c>
      <c r="X78">
        <f t="shared" ca="1" si="11"/>
        <v>36.762219999999999</v>
      </c>
      <c r="Y78">
        <f t="shared" ca="1" si="12"/>
        <v>47.65784</v>
      </c>
      <c r="Z78" s="19">
        <f t="shared" ca="1" si="16"/>
        <v>0.9</v>
      </c>
      <c r="AA78" s="19">
        <f t="shared" ca="1" si="16"/>
        <v>0</v>
      </c>
      <c r="AB78" s="19">
        <f t="shared" ca="1" si="16"/>
        <v>0.54</v>
      </c>
      <c r="AC78">
        <f t="shared" ca="1" si="13"/>
        <v>36.75</v>
      </c>
      <c r="AD78">
        <f t="shared" ca="1" si="14"/>
        <v>47.6</v>
      </c>
      <c r="AE78">
        <f t="shared" ca="1" si="17"/>
        <v>57</v>
      </c>
      <c r="AF78">
        <f t="shared" ca="1" si="18"/>
        <v>36.005699999999997</v>
      </c>
      <c r="AI78" s="10" t="s">
        <v>40</v>
      </c>
      <c r="AJ78" t="str">
        <f t="shared" si="19"/>
        <v>BTR-80  #77</v>
      </c>
      <c r="AL78" s="10">
        <f t="shared" ca="1" si="20"/>
        <v>273</v>
      </c>
      <c r="AM78" s="10">
        <f t="shared" ca="1" si="21"/>
        <v>47.7273</v>
      </c>
    </row>
    <row r="79" spans="1:39" x14ac:dyDescent="0.25">
      <c r="A79" s="10">
        <v>78</v>
      </c>
      <c r="B79" s="10" t="s">
        <v>122</v>
      </c>
      <c r="C79" s="10" t="s">
        <v>15</v>
      </c>
      <c r="D79" s="10" t="s">
        <v>18</v>
      </c>
      <c r="E79" s="11">
        <v>36.689399999999999</v>
      </c>
      <c r="F79" s="11">
        <v>47.638800000000003</v>
      </c>
      <c r="G79" s="12">
        <v>1.5E-3</v>
      </c>
      <c r="H79" s="13">
        <v>90</v>
      </c>
      <c r="I79" s="10">
        <v>100</v>
      </c>
      <c r="J79" s="10">
        <v>100</v>
      </c>
      <c r="K79" s="14">
        <v>0.4</v>
      </c>
      <c r="L79" s="10">
        <v>15</v>
      </c>
      <c r="M79" s="15">
        <v>0.6</v>
      </c>
      <c r="N79" s="10">
        <v>5</v>
      </c>
      <c r="O79" s="10">
        <v>10</v>
      </c>
      <c r="U79" s="20">
        <f t="shared" ca="1" si="15"/>
        <v>0.91</v>
      </c>
      <c r="V79" s="20">
        <f t="shared" ca="1" si="15"/>
        <v>0.86</v>
      </c>
      <c r="W79" s="20">
        <f t="shared" ca="1" si="15"/>
        <v>0.88</v>
      </c>
      <c r="X79">
        <f t="shared" ca="1" si="11"/>
        <v>36.774340000000002</v>
      </c>
      <c r="Y79">
        <f t="shared" ca="1" si="12"/>
        <v>47.67774</v>
      </c>
      <c r="Z79" s="19">
        <f t="shared" ca="1" si="16"/>
        <v>0.34</v>
      </c>
      <c r="AA79" s="19">
        <f t="shared" ca="1" si="16"/>
        <v>0.1</v>
      </c>
      <c r="AB79" s="19">
        <f t="shared" ca="1" si="16"/>
        <v>0.32</v>
      </c>
      <c r="AC79">
        <f t="shared" ca="1" si="13"/>
        <v>36.797429999999999</v>
      </c>
      <c r="AD79">
        <f t="shared" ca="1" si="14"/>
        <v>47.605060000000002</v>
      </c>
      <c r="AE79">
        <f t="shared" ca="1" si="17"/>
        <v>669</v>
      </c>
      <c r="AF79">
        <f t="shared" ca="1" si="18"/>
        <v>36.066899999999997</v>
      </c>
      <c r="AI79" s="10" t="s">
        <v>41</v>
      </c>
      <c r="AJ79" t="str">
        <f t="shared" si="19"/>
        <v>Infantry Squad  #78</v>
      </c>
      <c r="AL79" s="10">
        <f t="shared" ca="1" si="20"/>
        <v>90</v>
      </c>
      <c r="AM79" s="10">
        <f t="shared" ca="1" si="21"/>
        <v>47.709000000000003</v>
      </c>
    </row>
    <row r="80" spans="1:39" x14ac:dyDescent="0.25">
      <c r="A80" s="10">
        <v>79</v>
      </c>
      <c r="B80" s="10" t="s">
        <v>123</v>
      </c>
      <c r="C80" s="10" t="s">
        <v>15</v>
      </c>
      <c r="D80" s="10" t="s">
        <v>18</v>
      </c>
      <c r="E80" s="11">
        <v>36.6</v>
      </c>
      <c r="F80" s="11">
        <v>47.7</v>
      </c>
      <c r="G80" s="12">
        <v>1.5E-3</v>
      </c>
      <c r="H80" s="13">
        <v>90</v>
      </c>
      <c r="I80" s="10">
        <v>100</v>
      </c>
      <c r="J80" s="10">
        <v>100</v>
      </c>
      <c r="K80" s="14">
        <v>0.4</v>
      </c>
      <c r="L80" s="10">
        <v>15</v>
      </c>
      <c r="M80" s="15">
        <v>0.6</v>
      </c>
      <c r="N80" s="10">
        <v>5</v>
      </c>
      <c r="O80" s="10">
        <v>10</v>
      </c>
      <c r="U80" s="20">
        <f t="shared" ca="1" si="15"/>
        <v>0.17</v>
      </c>
      <c r="V80" s="20">
        <f t="shared" ca="1" si="15"/>
        <v>0.75</v>
      </c>
      <c r="W80" s="20">
        <f t="shared" ca="1" si="15"/>
        <v>0.35</v>
      </c>
      <c r="X80">
        <f t="shared" ca="1" si="11"/>
        <v>36.574019999999997</v>
      </c>
      <c r="Y80">
        <f t="shared" ca="1" si="12"/>
        <v>47.583089999999999</v>
      </c>
      <c r="Z80" s="19">
        <f t="shared" ca="1" si="16"/>
        <v>0.98</v>
      </c>
      <c r="AA80" s="19">
        <f t="shared" ca="1" si="16"/>
        <v>0.6</v>
      </c>
      <c r="AB80" s="19">
        <f t="shared" ca="1" si="16"/>
        <v>0.25</v>
      </c>
      <c r="AC80">
        <f t="shared" ca="1" si="13"/>
        <v>36.846820000000001</v>
      </c>
      <c r="AD80">
        <f t="shared" ca="1" si="14"/>
        <v>47.648409999999998</v>
      </c>
      <c r="AE80">
        <f t="shared" ca="1" si="17"/>
        <v>8315</v>
      </c>
      <c r="AF80">
        <f t="shared" ca="1" si="18"/>
        <v>36.831499999999998</v>
      </c>
      <c r="AI80" s="10" t="s">
        <v>41</v>
      </c>
      <c r="AJ80" t="str">
        <f t="shared" si="19"/>
        <v>Infantry Squad  #79</v>
      </c>
      <c r="AL80" s="10">
        <f t="shared" ca="1" si="20"/>
        <v>230</v>
      </c>
      <c r="AM80" s="10">
        <f t="shared" ca="1" si="21"/>
        <v>47.723000000000006</v>
      </c>
    </row>
    <row r="81" spans="1:39" x14ac:dyDescent="0.25">
      <c r="A81" s="10">
        <v>80</v>
      </c>
      <c r="B81" s="10" t="s">
        <v>124</v>
      </c>
      <c r="C81" s="10" t="s">
        <v>15</v>
      </c>
      <c r="D81" s="10" t="s">
        <v>18</v>
      </c>
      <c r="E81" s="11">
        <v>36.572879999999998</v>
      </c>
      <c r="F81" s="11">
        <v>47.621099999999998</v>
      </c>
      <c r="G81" s="12">
        <v>1.5E-3</v>
      </c>
      <c r="H81" s="13">
        <v>90</v>
      </c>
      <c r="I81" s="10">
        <v>100</v>
      </c>
      <c r="J81" s="10">
        <v>100</v>
      </c>
      <c r="K81" s="14">
        <v>0.4</v>
      </c>
      <c r="L81" s="10">
        <v>15</v>
      </c>
      <c r="M81" s="15">
        <v>0.6</v>
      </c>
      <c r="N81" s="10">
        <v>5</v>
      </c>
      <c r="O81" s="10">
        <v>10</v>
      </c>
      <c r="U81" s="20">
        <f t="shared" ca="1" si="15"/>
        <v>0.81</v>
      </c>
      <c r="V81" s="20">
        <f t="shared" ca="1" si="15"/>
        <v>0.66</v>
      </c>
      <c r="W81" s="20">
        <f t="shared" ca="1" si="15"/>
        <v>0.51</v>
      </c>
      <c r="X81">
        <f t="shared" ca="1" si="11"/>
        <v>36.722670000000001</v>
      </c>
      <c r="Y81">
        <f t="shared" ca="1" si="12"/>
        <v>47.620379999999997</v>
      </c>
      <c r="Z81" s="19">
        <f t="shared" ca="1" si="16"/>
        <v>0.27</v>
      </c>
      <c r="AA81" s="19">
        <f t="shared" ca="1" si="16"/>
        <v>0.15</v>
      </c>
      <c r="AB81" s="19">
        <f t="shared" ca="1" si="16"/>
        <v>0.75</v>
      </c>
      <c r="AC81">
        <f t="shared" ca="1" si="13"/>
        <v>36.80809</v>
      </c>
      <c r="AD81">
        <f t="shared" ca="1" si="14"/>
        <v>47.614519999999999</v>
      </c>
      <c r="AE81">
        <f t="shared" ca="1" si="17"/>
        <v>5791</v>
      </c>
      <c r="AF81">
        <f t="shared" ca="1" si="18"/>
        <v>36.579099999999997</v>
      </c>
      <c r="AI81" s="10" t="s">
        <v>41</v>
      </c>
      <c r="AJ81" t="str">
        <f t="shared" si="19"/>
        <v>Infantry Squad  #80</v>
      </c>
      <c r="AL81" s="10">
        <f t="shared" ca="1" si="20"/>
        <v>139</v>
      </c>
      <c r="AM81" s="10">
        <f t="shared" ca="1" si="21"/>
        <v>47.713900000000002</v>
      </c>
    </row>
    <row r="82" spans="1:39" x14ac:dyDescent="0.25">
      <c r="A82" s="10">
        <v>81</v>
      </c>
      <c r="B82" s="10" t="s">
        <v>125</v>
      </c>
      <c r="C82" s="10" t="s">
        <v>15</v>
      </c>
      <c r="D82" s="10" t="s">
        <v>16</v>
      </c>
      <c r="E82" s="11">
        <v>36.752009999999999</v>
      </c>
      <c r="F82" s="11">
        <v>47.671759999999999</v>
      </c>
      <c r="G82" s="12">
        <v>2E-3</v>
      </c>
      <c r="H82" s="13">
        <v>90</v>
      </c>
      <c r="I82" s="10">
        <v>100</v>
      </c>
      <c r="J82" s="10">
        <v>100</v>
      </c>
      <c r="K82" s="14">
        <v>2.5</v>
      </c>
      <c r="L82" s="10">
        <v>80</v>
      </c>
      <c r="M82" s="15">
        <v>0.75</v>
      </c>
      <c r="N82" s="10">
        <v>80</v>
      </c>
      <c r="O82" s="10">
        <v>3</v>
      </c>
      <c r="U82" s="20">
        <f t="shared" ca="1" si="15"/>
        <v>0.69</v>
      </c>
      <c r="V82" s="20">
        <f t="shared" ca="1" si="15"/>
        <v>0.76</v>
      </c>
      <c r="W82" s="20">
        <f t="shared" ca="1" si="15"/>
        <v>0.49</v>
      </c>
      <c r="X82">
        <f t="shared" ca="1" si="11"/>
        <v>36.729900000000001</v>
      </c>
      <c r="Y82">
        <f t="shared" ca="1" si="12"/>
        <v>47.611080000000001</v>
      </c>
      <c r="Z82" s="19">
        <f t="shared" ca="1" si="16"/>
        <v>0.96</v>
      </c>
      <c r="AA82" s="19">
        <f t="shared" ca="1" si="16"/>
        <v>0.77</v>
      </c>
      <c r="AB82" s="19">
        <f t="shared" ca="1" si="16"/>
        <v>0.24</v>
      </c>
      <c r="AC82">
        <f t="shared" ca="1" si="13"/>
        <v>36.86056</v>
      </c>
      <c r="AD82">
        <f t="shared" ca="1" si="14"/>
        <v>47.654400000000003</v>
      </c>
      <c r="AE82">
        <f t="shared" ca="1" si="17"/>
        <v>6157</v>
      </c>
      <c r="AF82">
        <f t="shared" ca="1" si="18"/>
        <v>36.615699999999997</v>
      </c>
      <c r="AI82" s="10" t="s">
        <v>37</v>
      </c>
      <c r="AJ82" t="str">
        <f t="shared" si="19"/>
        <v>T-72B3 Tank  #81</v>
      </c>
      <c r="AL82" s="10">
        <f t="shared" ca="1" si="20"/>
        <v>783</v>
      </c>
      <c r="AM82" s="10">
        <f t="shared" ca="1" si="21"/>
        <v>47.778300000000002</v>
      </c>
    </row>
    <row r="83" spans="1:39" x14ac:dyDescent="0.25">
      <c r="A83" s="10">
        <v>82</v>
      </c>
      <c r="B83" s="10" t="s">
        <v>126</v>
      </c>
      <c r="C83" s="10" t="s">
        <v>15</v>
      </c>
      <c r="D83" s="10" t="s">
        <v>16</v>
      </c>
      <c r="E83" s="11">
        <v>36.613860000000003</v>
      </c>
      <c r="F83" s="11">
        <v>47.56317</v>
      </c>
      <c r="G83" s="12">
        <v>2E-3</v>
      </c>
      <c r="H83" s="13">
        <v>90</v>
      </c>
      <c r="I83" s="10">
        <v>100</v>
      </c>
      <c r="J83" s="10">
        <v>100</v>
      </c>
      <c r="K83" s="14">
        <v>2.5</v>
      </c>
      <c r="L83" s="10">
        <v>80</v>
      </c>
      <c r="M83" s="15">
        <v>0.75</v>
      </c>
      <c r="N83" s="10">
        <v>80</v>
      </c>
      <c r="O83" s="10">
        <v>3</v>
      </c>
      <c r="U83" s="20">
        <f t="shared" ca="1" si="15"/>
        <v>0.82</v>
      </c>
      <c r="V83" s="20">
        <f t="shared" ca="1" si="15"/>
        <v>0.85</v>
      </c>
      <c r="W83" s="20">
        <f t="shared" ca="1" si="15"/>
        <v>0.28000000000000003</v>
      </c>
      <c r="X83">
        <f t="shared" ca="1" si="11"/>
        <v>36.71801</v>
      </c>
      <c r="Y83">
        <f t="shared" ca="1" si="12"/>
        <v>47.567239999999998</v>
      </c>
      <c r="Z83" s="19">
        <f t="shared" ca="1" si="16"/>
        <v>0.45</v>
      </c>
      <c r="AA83" s="19">
        <f t="shared" ca="1" si="16"/>
        <v>0.75</v>
      </c>
      <c r="AB83" s="19">
        <f t="shared" ca="1" si="16"/>
        <v>0.4</v>
      </c>
      <c r="AC83">
        <f t="shared" ca="1" si="13"/>
        <v>36.845260000000003</v>
      </c>
      <c r="AD83">
        <f t="shared" ca="1" si="14"/>
        <v>47.660620000000002</v>
      </c>
      <c r="AE83">
        <f t="shared" ca="1" si="17"/>
        <v>5928</v>
      </c>
      <c r="AF83">
        <f t="shared" ca="1" si="18"/>
        <v>36.592799999999997</v>
      </c>
      <c r="AI83" s="10" t="s">
        <v>37</v>
      </c>
      <c r="AJ83" t="str">
        <f t="shared" si="19"/>
        <v>T-72B3 Tank  #82</v>
      </c>
      <c r="AL83" s="10">
        <f t="shared" ca="1" si="20"/>
        <v>249</v>
      </c>
      <c r="AM83" s="10">
        <f t="shared" ca="1" si="21"/>
        <v>47.724900000000005</v>
      </c>
    </row>
    <row r="84" spans="1:39" x14ac:dyDescent="0.25">
      <c r="A84" s="10">
        <v>83</v>
      </c>
      <c r="B84" s="10" t="s">
        <v>127</v>
      </c>
      <c r="C84" s="10" t="s">
        <v>15</v>
      </c>
      <c r="D84" s="10" t="s">
        <v>16</v>
      </c>
      <c r="E84" s="11">
        <v>36.621639999999999</v>
      </c>
      <c r="F84" s="11">
        <v>47.686709999999998</v>
      </c>
      <c r="G84" s="12">
        <v>2.5000000000000001E-3</v>
      </c>
      <c r="H84" s="13">
        <v>90</v>
      </c>
      <c r="I84" s="10">
        <v>110</v>
      </c>
      <c r="J84" s="10">
        <v>110</v>
      </c>
      <c r="K84" s="14">
        <v>2.8</v>
      </c>
      <c r="L84" s="10">
        <v>85</v>
      </c>
      <c r="M84" s="15">
        <v>0.78</v>
      </c>
      <c r="N84" s="10">
        <v>85</v>
      </c>
      <c r="O84" s="10">
        <v>3</v>
      </c>
      <c r="U84" s="20">
        <f t="shared" ca="1" si="15"/>
        <v>0.39</v>
      </c>
      <c r="V84" s="20">
        <f t="shared" ca="1" si="15"/>
        <v>7.0000000000000007E-2</v>
      </c>
      <c r="W84" s="20">
        <f t="shared" ca="1" si="15"/>
        <v>0.45</v>
      </c>
      <c r="X84">
        <f t="shared" ca="1" si="11"/>
        <v>36.597349999999999</v>
      </c>
      <c r="Y84">
        <f t="shared" ca="1" si="12"/>
        <v>47.661639999999998</v>
      </c>
      <c r="Z84" s="19">
        <f t="shared" ca="1" si="16"/>
        <v>0.37</v>
      </c>
      <c r="AA84" s="19">
        <f t="shared" ca="1" si="16"/>
        <v>0.74</v>
      </c>
      <c r="AB84" s="19">
        <f t="shared" ca="1" si="16"/>
        <v>0.28999999999999998</v>
      </c>
      <c r="AC84">
        <f t="shared" ca="1" si="13"/>
        <v>36.87903</v>
      </c>
      <c r="AD84">
        <f t="shared" ca="1" si="14"/>
        <v>47.612470000000002</v>
      </c>
      <c r="AE84">
        <f t="shared" ca="1" si="17"/>
        <v>3895</v>
      </c>
      <c r="AF84">
        <f t="shared" ca="1" si="18"/>
        <v>36.389499999999998</v>
      </c>
      <c r="AI84" s="10" t="s">
        <v>38</v>
      </c>
      <c r="AJ84" t="str">
        <f t="shared" si="19"/>
        <v>T-80BVM Tank  #83</v>
      </c>
      <c r="AL84" s="10">
        <f t="shared" ca="1" si="20"/>
        <v>4</v>
      </c>
      <c r="AM84" s="10">
        <f t="shared" ca="1" si="21"/>
        <v>47.700400000000002</v>
      </c>
    </row>
    <row r="85" spans="1:39" x14ac:dyDescent="0.25">
      <c r="A85" s="10">
        <v>84</v>
      </c>
      <c r="B85" s="10" t="s">
        <v>128</v>
      </c>
      <c r="C85" s="10" t="s">
        <v>15</v>
      </c>
      <c r="D85" s="10" t="s">
        <v>16</v>
      </c>
      <c r="E85" s="11">
        <v>36.70561</v>
      </c>
      <c r="F85" s="11">
        <v>47.586260000000003</v>
      </c>
      <c r="G85" s="12">
        <v>2E-3</v>
      </c>
      <c r="H85" s="13">
        <v>90</v>
      </c>
      <c r="I85" s="10">
        <v>100</v>
      </c>
      <c r="J85" s="10">
        <v>100</v>
      </c>
      <c r="K85" s="14">
        <v>2.5</v>
      </c>
      <c r="L85" s="10">
        <v>80</v>
      </c>
      <c r="M85" s="15">
        <v>0.75</v>
      </c>
      <c r="N85" s="10">
        <v>80</v>
      </c>
      <c r="O85" s="10">
        <v>3</v>
      </c>
      <c r="U85" s="20">
        <f t="shared" ca="1" si="15"/>
        <v>0.18</v>
      </c>
      <c r="V85" s="20">
        <f t="shared" ca="1" si="15"/>
        <v>0.55000000000000004</v>
      </c>
      <c r="W85" s="20">
        <f t="shared" ca="1" si="15"/>
        <v>0.1</v>
      </c>
      <c r="X85">
        <f t="shared" ca="1" si="11"/>
        <v>36.540669999999999</v>
      </c>
      <c r="Y85">
        <f t="shared" ca="1" si="12"/>
        <v>47.61842</v>
      </c>
      <c r="Z85" s="19">
        <f t="shared" ca="1" si="16"/>
        <v>0.18</v>
      </c>
      <c r="AA85" s="19">
        <f t="shared" ca="1" si="16"/>
        <v>0.93</v>
      </c>
      <c r="AB85" s="19">
        <f t="shared" ca="1" si="16"/>
        <v>0.79</v>
      </c>
      <c r="AC85">
        <f t="shared" ca="1" si="13"/>
        <v>36.894649999999999</v>
      </c>
      <c r="AD85">
        <f t="shared" ca="1" si="14"/>
        <v>47.638089999999998</v>
      </c>
      <c r="AE85">
        <f t="shared" ca="1" si="17"/>
        <v>7078</v>
      </c>
      <c r="AF85">
        <f t="shared" ca="1" si="18"/>
        <v>36.707799999999999</v>
      </c>
      <c r="AI85" s="10" t="s">
        <v>37</v>
      </c>
      <c r="AJ85" t="str">
        <f t="shared" si="19"/>
        <v>T-72B3 Tank  #84</v>
      </c>
      <c r="AL85" s="10">
        <f t="shared" ca="1" si="20"/>
        <v>522</v>
      </c>
      <c r="AM85" s="10">
        <f t="shared" ca="1" si="21"/>
        <v>47.752200000000002</v>
      </c>
    </row>
    <row r="86" spans="1:39" x14ac:dyDescent="0.25">
      <c r="A86" s="10">
        <v>85</v>
      </c>
      <c r="B86" s="10" t="s">
        <v>129</v>
      </c>
      <c r="C86" s="10" t="s">
        <v>15</v>
      </c>
      <c r="D86" s="10" t="s">
        <v>16</v>
      </c>
      <c r="E86" s="11">
        <v>36.688650000000003</v>
      </c>
      <c r="F86" s="11">
        <v>47.689680000000003</v>
      </c>
      <c r="G86" s="12">
        <v>2.5000000000000001E-3</v>
      </c>
      <c r="H86" s="13">
        <v>90</v>
      </c>
      <c r="I86" s="10">
        <v>110</v>
      </c>
      <c r="J86" s="10">
        <v>110</v>
      </c>
      <c r="K86" s="14">
        <v>2.8</v>
      </c>
      <c r="L86" s="10">
        <v>85</v>
      </c>
      <c r="M86" s="15">
        <v>0.78</v>
      </c>
      <c r="N86" s="10">
        <v>85</v>
      </c>
      <c r="O86" s="10">
        <v>3</v>
      </c>
      <c r="U86" s="20">
        <f t="shared" ca="1" si="15"/>
        <v>0.59</v>
      </c>
      <c r="V86" s="20">
        <f t="shared" ca="1" si="15"/>
        <v>0.46</v>
      </c>
      <c r="W86" s="20">
        <f t="shared" ca="1" si="15"/>
        <v>0.85</v>
      </c>
      <c r="X86">
        <f t="shared" ca="1" si="11"/>
        <v>36.725470000000001</v>
      </c>
      <c r="Y86">
        <f t="shared" ca="1" si="12"/>
        <v>47.679650000000002</v>
      </c>
      <c r="Z86" s="19">
        <f t="shared" ca="1" si="16"/>
        <v>0.26</v>
      </c>
      <c r="AA86" s="19">
        <f t="shared" ca="1" si="16"/>
        <v>0.21</v>
      </c>
      <c r="AB86" s="19">
        <f t="shared" ca="1" si="16"/>
        <v>0.63</v>
      </c>
      <c r="AC86">
        <f t="shared" ca="1" si="13"/>
        <v>36.818739999999998</v>
      </c>
      <c r="AD86">
        <f t="shared" ca="1" si="14"/>
        <v>47.614440000000002</v>
      </c>
      <c r="AE86">
        <f t="shared" ca="1" si="17"/>
        <v>6023</v>
      </c>
      <c r="AF86">
        <f t="shared" ca="1" si="18"/>
        <v>36.6023</v>
      </c>
      <c r="AI86" s="10" t="s">
        <v>38</v>
      </c>
      <c r="AJ86" t="str">
        <f t="shared" si="19"/>
        <v>T-80BVM Tank  #85</v>
      </c>
      <c r="AL86" s="10">
        <f t="shared" ca="1" si="20"/>
        <v>339</v>
      </c>
      <c r="AM86" s="10">
        <f t="shared" ca="1" si="21"/>
        <v>47.733900000000006</v>
      </c>
    </row>
    <row r="87" spans="1:39" x14ac:dyDescent="0.25">
      <c r="A87" s="10">
        <v>86</v>
      </c>
      <c r="B87" s="10" t="s">
        <v>130</v>
      </c>
      <c r="C87" s="10" t="s">
        <v>15</v>
      </c>
      <c r="D87" s="10" t="s">
        <v>17</v>
      </c>
      <c r="E87" s="11">
        <v>36.63494</v>
      </c>
      <c r="F87" s="11">
        <v>47.573329999999999</v>
      </c>
      <c r="G87" s="12">
        <v>3.0000000000000001E-3</v>
      </c>
      <c r="H87" s="13">
        <v>90</v>
      </c>
      <c r="I87" s="10">
        <v>60</v>
      </c>
      <c r="J87" s="10">
        <v>60</v>
      </c>
      <c r="K87" s="14">
        <v>1.5</v>
      </c>
      <c r="L87" s="10">
        <v>40</v>
      </c>
      <c r="M87" s="15">
        <v>0.7</v>
      </c>
      <c r="N87" s="10">
        <v>30</v>
      </c>
      <c r="O87" s="10">
        <v>7</v>
      </c>
      <c r="U87" s="20">
        <f t="shared" ca="1" si="15"/>
        <v>0.95</v>
      </c>
      <c r="V87" s="20">
        <f t="shared" ca="1" si="15"/>
        <v>0.88</v>
      </c>
      <c r="W87" s="20">
        <f t="shared" ca="1" si="15"/>
        <v>0.75</v>
      </c>
      <c r="X87">
        <f t="shared" ca="1" si="11"/>
        <v>36.764159999999997</v>
      </c>
      <c r="Y87">
        <f t="shared" ca="1" si="12"/>
        <v>47.653100000000002</v>
      </c>
      <c r="Z87" s="19">
        <f t="shared" ca="1" si="16"/>
        <v>0.69</v>
      </c>
      <c r="AA87" s="19">
        <f t="shared" ca="1" si="16"/>
        <v>0.32</v>
      </c>
      <c r="AB87" s="19">
        <f t="shared" ca="1" si="16"/>
        <v>0.79</v>
      </c>
      <c r="AC87">
        <f t="shared" ca="1" si="13"/>
        <v>36.79016</v>
      </c>
      <c r="AD87">
        <f t="shared" ca="1" si="14"/>
        <v>47.65063</v>
      </c>
      <c r="AE87">
        <f t="shared" ca="1" si="17"/>
        <v>7</v>
      </c>
      <c r="AF87">
        <f t="shared" ca="1" si="18"/>
        <v>36.000700000000002</v>
      </c>
      <c r="AI87" s="10" t="s">
        <v>39</v>
      </c>
      <c r="AJ87" t="str">
        <f t="shared" si="19"/>
        <v>BMP-2  #86</v>
      </c>
      <c r="AL87" s="10">
        <f t="shared" ca="1" si="20"/>
        <v>749</v>
      </c>
      <c r="AM87" s="10">
        <f t="shared" ca="1" si="21"/>
        <v>47.774900000000002</v>
      </c>
    </row>
    <row r="88" spans="1:39" x14ac:dyDescent="0.25">
      <c r="A88" s="10">
        <v>87</v>
      </c>
      <c r="B88" s="10" t="s">
        <v>131</v>
      </c>
      <c r="C88" s="10" t="s">
        <v>15</v>
      </c>
      <c r="D88" s="10" t="s">
        <v>17</v>
      </c>
      <c r="E88" s="11">
        <v>36.623420000000003</v>
      </c>
      <c r="F88" s="11">
        <v>47.595820000000003</v>
      </c>
      <c r="G88" s="12">
        <v>3.0000000000000001E-3</v>
      </c>
      <c r="H88" s="13">
        <v>90</v>
      </c>
      <c r="I88" s="10">
        <v>60</v>
      </c>
      <c r="J88" s="10">
        <v>60</v>
      </c>
      <c r="K88" s="14">
        <v>1.5</v>
      </c>
      <c r="L88" s="10">
        <v>40</v>
      </c>
      <c r="M88" s="15">
        <v>0.7</v>
      </c>
      <c r="N88" s="10">
        <v>30</v>
      </c>
      <c r="O88" s="10">
        <v>7</v>
      </c>
      <c r="U88" s="20">
        <f t="shared" ca="1" si="15"/>
        <v>0.14000000000000001</v>
      </c>
      <c r="V88" s="20">
        <f t="shared" ca="1" si="15"/>
        <v>0.55000000000000004</v>
      </c>
      <c r="W88" s="20">
        <f t="shared" ca="1" si="15"/>
        <v>0.98</v>
      </c>
      <c r="X88">
        <f t="shared" ca="1" si="11"/>
        <v>36.671199999999999</v>
      </c>
      <c r="Y88">
        <f t="shared" ca="1" si="12"/>
        <v>47.553159999999998</v>
      </c>
      <c r="Z88" s="19">
        <f t="shared" ca="1" si="16"/>
        <v>0.08</v>
      </c>
      <c r="AA88" s="19">
        <f t="shared" ca="1" si="16"/>
        <v>0.2</v>
      </c>
      <c r="AB88" s="19">
        <f t="shared" ca="1" si="16"/>
        <v>0.43</v>
      </c>
      <c r="AC88">
        <f t="shared" ca="1" si="13"/>
        <v>36.817079999999997</v>
      </c>
      <c r="AD88">
        <f t="shared" ca="1" si="14"/>
        <v>47.60962</v>
      </c>
      <c r="AE88">
        <f t="shared" ca="1" si="17"/>
        <v>6982</v>
      </c>
      <c r="AF88">
        <f t="shared" ca="1" si="18"/>
        <v>36.6982</v>
      </c>
      <c r="AI88" s="10" t="s">
        <v>39</v>
      </c>
      <c r="AJ88" t="str">
        <f t="shared" si="19"/>
        <v>BMP-2  #87</v>
      </c>
      <c r="AL88" s="10">
        <f t="shared" ca="1" si="20"/>
        <v>185</v>
      </c>
      <c r="AM88" s="10">
        <f t="shared" ca="1" si="21"/>
        <v>47.718500000000006</v>
      </c>
    </row>
    <row r="89" spans="1:39" x14ac:dyDescent="0.25">
      <c r="A89" s="10">
        <v>88</v>
      </c>
      <c r="B89" s="10" t="s">
        <v>132</v>
      </c>
      <c r="C89" s="10" t="s">
        <v>15</v>
      </c>
      <c r="D89" s="10" t="s">
        <v>17</v>
      </c>
      <c r="E89" s="11">
        <v>36.586709999999997</v>
      </c>
      <c r="F89" s="11">
        <v>47.582050000000002</v>
      </c>
      <c r="G89" s="12">
        <v>3.5000000000000001E-3</v>
      </c>
      <c r="H89" s="13">
        <v>90</v>
      </c>
      <c r="I89" s="10">
        <v>50</v>
      </c>
      <c r="J89" s="10">
        <v>50</v>
      </c>
      <c r="K89" s="14">
        <v>1.2</v>
      </c>
      <c r="L89" s="10">
        <v>25</v>
      </c>
      <c r="M89" s="15">
        <v>0.65</v>
      </c>
      <c r="N89" s="10">
        <v>20</v>
      </c>
      <c r="O89" s="10">
        <v>8</v>
      </c>
      <c r="U89" s="20">
        <f t="shared" ca="1" si="15"/>
        <v>0.41</v>
      </c>
      <c r="V89" s="20">
        <f t="shared" ca="1" si="15"/>
        <v>0.55000000000000004</v>
      </c>
      <c r="W89" s="20">
        <f t="shared" ca="1" si="15"/>
        <v>0.55000000000000004</v>
      </c>
      <c r="X89">
        <f t="shared" ca="1" si="11"/>
        <v>36.607419999999998</v>
      </c>
      <c r="Y89">
        <f t="shared" ca="1" si="12"/>
        <v>47.585050000000003</v>
      </c>
      <c r="Z89" s="19">
        <f t="shared" ca="1" si="16"/>
        <v>0.66</v>
      </c>
      <c r="AA89" s="19">
        <f t="shared" ca="1" si="16"/>
        <v>0.72</v>
      </c>
      <c r="AB89" s="19">
        <f t="shared" ca="1" si="16"/>
        <v>0.51</v>
      </c>
      <c r="AC89">
        <f t="shared" ca="1" si="13"/>
        <v>36.834000000000003</v>
      </c>
      <c r="AD89">
        <f t="shared" ca="1" si="14"/>
        <v>47.664059999999999</v>
      </c>
      <c r="AE89">
        <f t="shared" ca="1" si="17"/>
        <v>5206</v>
      </c>
      <c r="AF89">
        <f t="shared" ca="1" si="18"/>
        <v>36.520600000000002</v>
      </c>
      <c r="AI89" s="10" t="s">
        <v>40</v>
      </c>
      <c r="AJ89" t="str">
        <f t="shared" si="19"/>
        <v>BTR-80  #88</v>
      </c>
      <c r="AL89" s="10">
        <f t="shared" ca="1" si="20"/>
        <v>827</v>
      </c>
      <c r="AM89" s="10">
        <f t="shared" ca="1" si="21"/>
        <v>47.782700000000006</v>
      </c>
    </row>
    <row r="90" spans="1:39" x14ac:dyDescent="0.25">
      <c r="A90" s="10">
        <v>89</v>
      </c>
      <c r="B90" s="10" t="s">
        <v>133</v>
      </c>
      <c r="C90" s="10" t="s">
        <v>15</v>
      </c>
      <c r="D90" s="10" t="s">
        <v>17</v>
      </c>
      <c r="E90" s="11">
        <v>36.704979999999999</v>
      </c>
      <c r="F90" s="11">
        <v>47.624299999999998</v>
      </c>
      <c r="G90" s="12">
        <v>3.0000000000000001E-3</v>
      </c>
      <c r="H90" s="13">
        <v>90</v>
      </c>
      <c r="I90" s="10">
        <v>60</v>
      </c>
      <c r="J90" s="10">
        <v>60</v>
      </c>
      <c r="K90" s="14">
        <v>1.5</v>
      </c>
      <c r="L90" s="10">
        <v>40</v>
      </c>
      <c r="M90" s="15">
        <v>0.7</v>
      </c>
      <c r="N90" s="10">
        <v>30</v>
      </c>
      <c r="O90" s="10">
        <v>7</v>
      </c>
      <c r="U90" s="20">
        <f t="shared" ca="1" si="15"/>
        <v>0.65</v>
      </c>
      <c r="V90" s="20">
        <f t="shared" ca="1" si="15"/>
        <v>0.86</v>
      </c>
      <c r="W90" s="20">
        <f t="shared" ca="1" si="15"/>
        <v>0.91</v>
      </c>
      <c r="X90">
        <f t="shared" ca="1" si="11"/>
        <v>36.77713</v>
      </c>
      <c r="Y90">
        <f t="shared" ca="1" si="12"/>
        <v>47.683309999999999</v>
      </c>
      <c r="Z90" s="19">
        <f t="shared" ca="1" si="16"/>
        <v>0.7</v>
      </c>
      <c r="AA90" s="19">
        <f t="shared" ca="1" si="16"/>
        <v>0.13</v>
      </c>
      <c r="AB90" s="19">
        <f t="shared" ca="1" si="16"/>
        <v>0.74</v>
      </c>
      <c r="AC90">
        <f t="shared" ca="1" si="13"/>
        <v>36.7774</v>
      </c>
      <c r="AD90">
        <f t="shared" ca="1" si="14"/>
        <v>47.631369999999997</v>
      </c>
      <c r="AE90">
        <f t="shared" ca="1" si="17"/>
        <v>9953</v>
      </c>
      <c r="AF90">
        <f t="shared" ca="1" si="18"/>
        <v>36.9953</v>
      </c>
      <c r="AI90" s="10" t="s">
        <v>39</v>
      </c>
      <c r="AJ90" t="str">
        <f t="shared" si="19"/>
        <v>BMP-2  #89</v>
      </c>
      <c r="AL90" s="10">
        <f t="shared" ca="1" si="20"/>
        <v>583</v>
      </c>
      <c r="AM90" s="10">
        <f t="shared" ca="1" si="21"/>
        <v>47.758300000000006</v>
      </c>
    </row>
    <row r="91" spans="1:39" x14ac:dyDescent="0.25">
      <c r="A91" s="10">
        <v>90</v>
      </c>
      <c r="B91" s="10" t="s">
        <v>134</v>
      </c>
      <c r="C91" s="10" t="s">
        <v>15</v>
      </c>
      <c r="D91" s="10" t="s">
        <v>17</v>
      </c>
      <c r="E91" s="11">
        <v>36.656140000000001</v>
      </c>
      <c r="F91" s="11">
        <v>47.536099999999998</v>
      </c>
      <c r="G91" s="12">
        <v>3.0000000000000001E-3</v>
      </c>
      <c r="H91" s="13">
        <v>90</v>
      </c>
      <c r="I91" s="10">
        <v>60</v>
      </c>
      <c r="J91" s="10">
        <v>60</v>
      </c>
      <c r="K91" s="14">
        <v>1.5</v>
      </c>
      <c r="L91" s="10">
        <v>40</v>
      </c>
      <c r="M91" s="15">
        <v>0.7</v>
      </c>
      <c r="N91" s="10">
        <v>30</v>
      </c>
      <c r="O91" s="10">
        <v>7</v>
      </c>
      <c r="U91" s="20">
        <f t="shared" ca="1" si="15"/>
        <v>0.5</v>
      </c>
      <c r="V91" s="20">
        <f t="shared" ca="1" si="15"/>
        <v>0.01</v>
      </c>
      <c r="W91" s="20">
        <f t="shared" ca="1" si="15"/>
        <v>0.12</v>
      </c>
      <c r="X91">
        <f t="shared" ca="1" si="11"/>
        <v>36.611199999999997</v>
      </c>
      <c r="Y91">
        <f t="shared" ca="1" si="12"/>
        <v>47.682400000000001</v>
      </c>
      <c r="Z91" s="19">
        <f t="shared" ca="1" si="16"/>
        <v>0.43</v>
      </c>
      <c r="AA91" s="19">
        <f t="shared" ca="1" si="16"/>
        <v>0.99</v>
      </c>
      <c r="AB91" s="19">
        <f t="shared" ca="1" si="16"/>
        <v>0.19</v>
      </c>
      <c r="AC91">
        <f t="shared" ca="1" si="13"/>
        <v>36.880339999999997</v>
      </c>
      <c r="AD91">
        <f t="shared" ca="1" si="14"/>
        <v>47.659199999999998</v>
      </c>
      <c r="AE91">
        <f t="shared" ca="1" si="17"/>
        <v>9881</v>
      </c>
      <c r="AF91">
        <f t="shared" ca="1" si="18"/>
        <v>36.988100000000003</v>
      </c>
      <c r="AI91" s="10" t="s">
        <v>39</v>
      </c>
      <c r="AJ91" t="str">
        <f t="shared" si="19"/>
        <v>BMP-2  #90</v>
      </c>
      <c r="AL91" s="10">
        <f t="shared" ca="1" si="20"/>
        <v>878</v>
      </c>
      <c r="AM91" s="10">
        <f t="shared" ca="1" si="21"/>
        <v>47.787800000000004</v>
      </c>
    </row>
    <row r="92" spans="1:39" x14ac:dyDescent="0.25">
      <c r="A92" s="10">
        <v>91</v>
      </c>
      <c r="B92" s="10" t="s">
        <v>135</v>
      </c>
      <c r="C92" s="10" t="s">
        <v>15</v>
      </c>
      <c r="D92" s="10" t="s">
        <v>17</v>
      </c>
      <c r="E92" s="11">
        <v>36.6</v>
      </c>
      <c r="F92" s="11">
        <v>47.7</v>
      </c>
      <c r="G92" s="12">
        <v>3.5000000000000001E-3</v>
      </c>
      <c r="H92" s="13">
        <v>90</v>
      </c>
      <c r="I92" s="10">
        <v>50</v>
      </c>
      <c r="J92" s="10">
        <v>50</v>
      </c>
      <c r="K92" s="14">
        <v>1.2</v>
      </c>
      <c r="L92" s="10">
        <v>25</v>
      </c>
      <c r="M92" s="15">
        <v>0.65</v>
      </c>
      <c r="N92" s="10">
        <v>20</v>
      </c>
      <c r="O92" s="10">
        <v>8</v>
      </c>
      <c r="U92" s="20">
        <f t="shared" ca="1" si="15"/>
        <v>0.15</v>
      </c>
      <c r="V92" s="20">
        <f t="shared" ca="1" si="15"/>
        <v>0.2</v>
      </c>
      <c r="W92" s="20">
        <f t="shared" ca="1" si="15"/>
        <v>0.8</v>
      </c>
      <c r="X92">
        <f t="shared" ca="1" si="11"/>
        <v>36.626829999999998</v>
      </c>
      <c r="Y92">
        <f t="shared" ca="1" si="12"/>
        <v>47.619500000000002</v>
      </c>
      <c r="Z92" s="19">
        <f t="shared" ca="1" si="16"/>
        <v>0.05</v>
      </c>
      <c r="AA92" s="19">
        <f t="shared" ca="1" si="16"/>
        <v>0.32</v>
      </c>
      <c r="AB92" s="19">
        <f t="shared" ca="1" si="16"/>
        <v>0.89</v>
      </c>
      <c r="AC92">
        <f t="shared" ca="1" si="13"/>
        <v>36.834850000000003</v>
      </c>
      <c r="AD92">
        <f t="shared" ca="1" si="14"/>
        <v>47.625169999999997</v>
      </c>
      <c r="AE92">
        <f t="shared" ca="1" si="17"/>
        <v>7089</v>
      </c>
      <c r="AF92">
        <f t="shared" ca="1" si="18"/>
        <v>36.7089</v>
      </c>
      <c r="AI92" s="10" t="s">
        <v>40</v>
      </c>
      <c r="AJ92" t="str">
        <f t="shared" si="19"/>
        <v>BTR-80  #91</v>
      </c>
      <c r="AL92" s="10">
        <f t="shared" ca="1" si="20"/>
        <v>437</v>
      </c>
      <c r="AM92" s="10">
        <f t="shared" ca="1" si="21"/>
        <v>47.743700000000004</v>
      </c>
    </row>
    <row r="93" spans="1:39" x14ac:dyDescent="0.25">
      <c r="A93" s="10">
        <v>92</v>
      </c>
      <c r="B93" s="10" t="s">
        <v>136</v>
      </c>
      <c r="C93" s="10" t="s">
        <v>15</v>
      </c>
      <c r="D93" s="10" t="s">
        <v>17</v>
      </c>
      <c r="E93" s="11">
        <v>36.591349999999998</v>
      </c>
      <c r="F93" s="11">
        <v>47.596159999999998</v>
      </c>
      <c r="G93" s="12">
        <v>3.0000000000000001E-3</v>
      </c>
      <c r="H93" s="13">
        <v>90</v>
      </c>
      <c r="I93" s="10">
        <v>60</v>
      </c>
      <c r="J93" s="10">
        <v>60</v>
      </c>
      <c r="K93" s="14">
        <v>1.5</v>
      </c>
      <c r="L93" s="10">
        <v>40</v>
      </c>
      <c r="M93" s="15">
        <v>0.7</v>
      </c>
      <c r="N93" s="10">
        <v>30</v>
      </c>
      <c r="O93" s="10">
        <v>7</v>
      </c>
      <c r="U93" s="20">
        <f t="shared" ca="1" si="15"/>
        <v>0.84</v>
      </c>
      <c r="V93" s="20">
        <f t="shared" ca="1" si="15"/>
        <v>0.44</v>
      </c>
      <c r="W93" s="20">
        <f t="shared" ca="1" si="15"/>
        <v>0.56999999999999995</v>
      </c>
      <c r="X93">
        <f t="shared" ca="1" si="11"/>
        <v>36.704140000000002</v>
      </c>
      <c r="Y93">
        <f t="shared" ca="1" si="12"/>
        <v>47.642949999999999</v>
      </c>
      <c r="Z93" s="19">
        <f t="shared" ca="1" si="16"/>
        <v>0.8</v>
      </c>
      <c r="AA93" s="19">
        <f t="shared" ca="1" si="16"/>
        <v>0.78</v>
      </c>
      <c r="AB93" s="19">
        <f t="shared" ca="1" si="16"/>
        <v>0.48</v>
      </c>
      <c r="AC93">
        <f t="shared" ca="1" si="13"/>
        <v>36.84008</v>
      </c>
      <c r="AD93">
        <f t="shared" ca="1" si="14"/>
        <v>47.66536</v>
      </c>
      <c r="AE93">
        <f t="shared" ca="1" si="17"/>
        <v>7061</v>
      </c>
      <c r="AF93">
        <f t="shared" ca="1" si="18"/>
        <v>36.706099999999999</v>
      </c>
      <c r="AI93" s="10" t="s">
        <v>39</v>
      </c>
      <c r="AJ93" t="str">
        <f t="shared" si="19"/>
        <v>BMP-2  #92</v>
      </c>
      <c r="AL93" s="10">
        <f t="shared" ca="1" si="20"/>
        <v>341</v>
      </c>
      <c r="AM93" s="10">
        <f t="shared" ca="1" si="21"/>
        <v>47.734100000000005</v>
      </c>
    </row>
    <row r="94" spans="1:39" x14ac:dyDescent="0.25">
      <c r="A94" s="10">
        <v>93</v>
      </c>
      <c r="B94" s="10" t="s">
        <v>137</v>
      </c>
      <c r="C94" s="10" t="s">
        <v>15</v>
      </c>
      <c r="D94" s="10" t="s">
        <v>17</v>
      </c>
      <c r="E94" s="11">
        <v>36.709650000000003</v>
      </c>
      <c r="F94" s="11">
        <v>47.596800000000002</v>
      </c>
      <c r="G94" s="12">
        <v>3.0000000000000001E-3</v>
      </c>
      <c r="H94" s="13">
        <v>90</v>
      </c>
      <c r="I94" s="10">
        <v>60</v>
      </c>
      <c r="J94" s="10">
        <v>60</v>
      </c>
      <c r="K94" s="14">
        <v>1.5</v>
      </c>
      <c r="L94" s="10">
        <v>40</v>
      </c>
      <c r="M94" s="15">
        <v>0.7</v>
      </c>
      <c r="N94" s="10">
        <v>30</v>
      </c>
      <c r="O94" s="10">
        <v>7</v>
      </c>
      <c r="U94" s="20">
        <f t="shared" ca="1" si="15"/>
        <v>0.94</v>
      </c>
      <c r="V94" s="20">
        <f t="shared" ca="1" si="15"/>
        <v>0.47</v>
      </c>
      <c r="W94" s="20">
        <f t="shared" ca="1" si="15"/>
        <v>0.88</v>
      </c>
      <c r="X94">
        <f t="shared" ca="1" si="11"/>
        <v>36.72889</v>
      </c>
      <c r="Y94">
        <f t="shared" ca="1" si="12"/>
        <v>47.683549999999997</v>
      </c>
      <c r="Z94" s="19">
        <f t="shared" ca="1" si="16"/>
        <v>0.44</v>
      </c>
      <c r="AA94" s="19">
        <f t="shared" ca="1" si="16"/>
        <v>0.88</v>
      </c>
      <c r="AB94" s="19">
        <f t="shared" ca="1" si="16"/>
        <v>0.12</v>
      </c>
      <c r="AC94">
        <f t="shared" ca="1" si="13"/>
        <v>36.879460000000002</v>
      </c>
      <c r="AD94">
        <f t="shared" ca="1" si="14"/>
        <v>47.652529999999999</v>
      </c>
      <c r="AE94">
        <f t="shared" ca="1" si="17"/>
        <v>3916</v>
      </c>
      <c r="AF94">
        <f t="shared" ca="1" si="18"/>
        <v>36.391599999999997</v>
      </c>
      <c r="AI94" s="10" t="s">
        <v>39</v>
      </c>
      <c r="AJ94" t="str">
        <f t="shared" si="19"/>
        <v>BMP-2  #93</v>
      </c>
      <c r="AL94" s="10">
        <f t="shared" ca="1" si="20"/>
        <v>78</v>
      </c>
      <c r="AM94" s="10">
        <f t="shared" ca="1" si="21"/>
        <v>47.707800000000006</v>
      </c>
    </row>
    <row r="95" spans="1:39" x14ac:dyDescent="0.25">
      <c r="A95" s="10">
        <v>94</v>
      </c>
      <c r="B95" s="10" t="s">
        <v>138</v>
      </c>
      <c r="C95" s="10" t="s">
        <v>15</v>
      </c>
      <c r="D95" s="10" t="s">
        <v>17</v>
      </c>
      <c r="E95" s="11">
        <v>36.664520000000003</v>
      </c>
      <c r="F95" s="11">
        <v>47.552520000000001</v>
      </c>
      <c r="G95" s="12">
        <v>3.5000000000000001E-3</v>
      </c>
      <c r="H95" s="13">
        <v>90</v>
      </c>
      <c r="I95" s="10">
        <v>50</v>
      </c>
      <c r="J95" s="10">
        <v>50</v>
      </c>
      <c r="K95" s="14">
        <v>1.2</v>
      </c>
      <c r="L95" s="10">
        <v>25</v>
      </c>
      <c r="M95" s="15">
        <v>0.65</v>
      </c>
      <c r="N95" s="10">
        <v>20</v>
      </c>
      <c r="O95" s="10">
        <v>8</v>
      </c>
      <c r="U95" s="20">
        <f t="shared" ca="1" si="15"/>
        <v>0.25</v>
      </c>
      <c r="V95" s="20">
        <f t="shared" ca="1" si="15"/>
        <v>0.51</v>
      </c>
      <c r="W95" s="20">
        <f t="shared" ca="1" si="15"/>
        <v>0.64</v>
      </c>
      <c r="X95">
        <f t="shared" ca="1" si="11"/>
        <v>36.619999999999997</v>
      </c>
      <c r="Y95">
        <f t="shared" ca="1" si="12"/>
        <v>47.582880000000003</v>
      </c>
      <c r="Z95" s="19">
        <f t="shared" ca="1" si="16"/>
        <v>0.12</v>
      </c>
      <c r="AA95" s="19">
        <f t="shared" ca="1" si="16"/>
        <v>0.09</v>
      </c>
      <c r="AB95" s="19">
        <f t="shared" ca="1" si="16"/>
        <v>0.7</v>
      </c>
      <c r="AC95">
        <f t="shared" ca="1" si="13"/>
        <v>36.795000000000002</v>
      </c>
      <c r="AD95">
        <f t="shared" ca="1" si="14"/>
        <v>47.610500000000002</v>
      </c>
      <c r="AE95">
        <f t="shared" ca="1" si="17"/>
        <v>4560</v>
      </c>
      <c r="AF95">
        <f t="shared" ca="1" si="18"/>
        <v>36.456000000000003</v>
      </c>
      <c r="AI95" s="10" t="s">
        <v>40</v>
      </c>
      <c r="AJ95" t="str">
        <f t="shared" si="19"/>
        <v>BTR-80  #94</v>
      </c>
      <c r="AL95" s="10">
        <f t="shared" ca="1" si="20"/>
        <v>478</v>
      </c>
      <c r="AM95" s="10">
        <f t="shared" ca="1" si="21"/>
        <v>47.747800000000005</v>
      </c>
    </row>
    <row r="96" spans="1:39" x14ac:dyDescent="0.25">
      <c r="A96" s="10">
        <v>95</v>
      </c>
      <c r="B96" s="10" t="s">
        <v>139</v>
      </c>
      <c r="C96" s="10" t="s">
        <v>15</v>
      </c>
      <c r="D96" s="10" t="s">
        <v>17</v>
      </c>
      <c r="E96" s="11">
        <v>36.766970000000001</v>
      </c>
      <c r="F96" s="11">
        <v>47.65446</v>
      </c>
      <c r="G96" s="12">
        <v>3.0000000000000001E-3</v>
      </c>
      <c r="H96" s="13">
        <v>90</v>
      </c>
      <c r="I96" s="10">
        <v>60</v>
      </c>
      <c r="J96" s="10">
        <v>60</v>
      </c>
      <c r="K96" s="14">
        <v>1.5</v>
      </c>
      <c r="L96" s="10">
        <v>40</v>
      </c>
      <c r="M96" s="15">
        <v>0.7</v>
      </c>
      <c r="N96" s="10">
        <v>30</v>
      </c>
      <c r="O96" s="10">
        <v>7</v>
      </c>
      <c r="U96" s="20">
        <f t="shared" ca="1" si="15"/>
        <v>0.06</v>
      </c>
      <c r="V96" s="20">
        <f t="shared" ca="1" si="15"/>
        <v>0.56000000000000005</v>
      </c>
      <c r="W96" s="20">
        <f t="shared" ca="1" si="15"/>
        <v>0.22</v>
      </c>
      <c r="X96">
        <f t="shared" ca="1" si="11"/>
        <v>36.55809</v>
      </c>
      <c r="Y96">
        <f t="shared" ca="1" si="12"/>
        <v>47.608699999999999</v>
      </c>
      <c r="Z96" s="19">
        <f t="shared" ca="1" si="16"/>
        <v>0.51</v>
      </c>
      <c r="AA96" s="19">
        <f t="shared" ca="1" si="16"/>
        <v>0.2</v>
      </c>
      <c r="AB96" s="19">
        <f t="shared" ca="1" si="16"/>
        <v>0.84</v>
      </c>
      <c r="AC96">
        <f t="shared" ca="1" si="13"/>
        <v>36.779519999999998</v>
      </c>
      <c r="AD96">
        <f t="shared" ca="1" si="14"/>
        <v>47.64114</v>
      </c>
      <c r="AE96">
        <f t="shared" ca="1" si="17"/>
        <v>1006</v>
      </c>
      <c r="AF96">
        <f t="shared" ca="1" si="18"/>
        <v>36.1006</v>
      </c>
      <c r="AI96" s="10" t="s">
        <v>39</v>
      </c>
      <c r="AJ96" t="str">
        <f t="shared" si="19"/>
        <v>BMP-2  #95</v>
      </c>
      <c r="AL96" s="10">
        <f t="shared" ca="1" si="20"/>
        <v>5</v>
      </c>
      <c r="AM96" s="10">
        <f t="shared" ca="1" si="21"/>
        <v>47.700500000000005</v>
      </c>
    </row>
    <row r="97" spans="1:39" x14ac:dyDescent="0.25">
      <c r="A97" s="10">
        <v>96</v>
      </c>
      <c r="B97" s="10" t="s">
        <v>140</v>
      </c>
      <c r="C97" s="10" t="s">
        <v>15</v>
      </c>
      <c r="D97" s="10" t="s">
        <v>17</v>
      </c>
      <c r="E97" s="11">
        <v>36.720329999999997</v>
      </c>
      <c r="F97" s="11">
        <v>47.636029999999998</v>
      </c>
      <c r="G97" s="12">
        <v>3.0000000000000001E-3</v>
      </c>
      <c r="H97" s="13">
        <v>90</v>
      </c>
      <c r="I97" s="10">
        <v>60</v>
      </c>
      <c r="J97" s="10">
        <v>60</v>
      </c>
      <c r="K97" s="14">
        <v>1.5</v>
      </c>
      <c r="L97" s="10">
        <v>40</v>
      </c>
      <c r="M97" s="15">
        <v>0.7</v>
      </c>
      <c r="N97" s="10">
        <v>30</v>
      </c>
      <c r="O97" s="10">
        <v>7</v>
      </c>
      <c r="U97" s="20">
        <f t="shared" ca="1" si="15"/>
        <v>0.6</v>
      </c>
      <c r="V97" s="20">
        <f t="shared" ca="1" si="15"/>
        <v>0.1</v>
      </c>
      <c r="W97" s="20">
        <f t="shared" ca="1" si="15"/>
        <v>0.5</v>
      </c>
      <c r="X97">
        <f t="shared" ref="X97:X160" ca="1" si="22">ROUND(IF(U97 &lt; $T$9,
 (1-SQRT(V97))*$T$3 + SQRT(V97)*(1-W97)*$T$4 + SQRT(V97)*W97*$T$5,
 (1-SQRT(V97))*$T$3 + SQRT(V97)*(1-W97)*$T$5 + SQRT(V97)*W97*$T$6
)/100,5)</f>
        <v>36.64743</v>
      </c>
      <c r="Y97">
        <f t="shared" ref="Y97:Y160" ca="1" si="23">ROUND(IF(U97&lt;$T$9,(1-SQRT(V97))*$S$3+SQRT(V97)*(1-W97)*$S$4+SQRT(V97)*W97*$S$5,(1-SQRT(V97))*$S$3+SQRT(V97)*(1-W97)*$S$5+SQRT(V97)*W97*$S$6)/100,5)</f>
        <v>47.668379999999999</v>
      </c>
      <c r="Z97" s="19">
        <f t="shared" ca="1" si="16"/>
        <v>0.61</v>
      </c>
      <c r="AA97" s="19">
        <f t="shared" ca="1" si="16"/>
        <v>0.08</v>
      </c>
      <c r="AB97" s="19">
        <f t="shared" ca="1" si="16"/>
        <v>0.21</v>
      </c>
      <c r="AC97">
        <f t="shared" ref="AC97:AC160" ca="1" si="24">ROUND(IF(Z97 &lt; $T$18,
 (1-SQRT(AA97))*$T$12 + SQRT(AA97)*(1-AB97)*$T$13 + SQRT(AA97)*AB97*$T$14,
 (1-SQRT(AA97))*$T$12 + SQRT(AA97)*(1-AB97)*$T$14 + SQRT(AA97)*AB97*$T$15
)/100,5)</f>
        <v>36.786490000000001</v>
      </c>
      <c r="AD97">
        <f t="shared" ref="AD97:AD160" ca="1" si="25">ROUND(IF(Z97&lt;$T$18,
(1-SQRT(AA97))*$S$12+SQRT(AA97)*(1-AB97)*$S$13+SQRT(AA97)*AB97*$S$14,
(1-SQRT(AA97))*$S$12+SQRT(AA97)*(1-AB97)*$S$14+SQRT(AA97)*AB97*$S$15)/100,5)</f>
        <v>47.617109999999997</v>
      </c>
      <c r="AE97">
        <f t="shared" ca="1" si="17"/>
        <v>4075</v>
      </c>
      <c r="AF97">
        <f t="shared" ca="1" si="18"/>
        <v>36.407499999999999</v>
      </c>
      <c r="AI97" s="10" t="s">
        <v>39</v>
      </c>
      <c r="AJ97" t="str">
        <f t="shared" si="19"/>
        <v>BMP-2  #96</v>
      </c>
      <c r="AL97" s="10">
        <f t="shared" ca="1" si="20"/>
        <v>711</v>
      </c>
      <c r="AM97" s="10">
        <f t="shared" ca="1" si="21"/>
        <v>47.771100000000004</v>
      </c>
    </row>
    <row r="98" spans="1:39" x14ac:dyDescent="0.25">
      <c r="A98" s="10">
        <v>97</v>
      </c>
      <c r="B98" s="10" t="s">
        <v>141</v>
      </c>
      <c r="C98" s="10" t="s">
        <v>15</v>
      </c>
      <c r="D98" s="10" t="s">
        <v>17</v>
      </c>
      <c r="E98" s="11">
        <v>36.565370000000001</v>
      </c>
      <c r="F98" s="11">
        <v>47.593620000000001</v>
      </c>
      <c r="G98" s="12">
        <v>3.5000000000000001E-3</v>
      </c>
      <c r="H98" s="13">
        <v>90</v>
      </c>
      <c r="I98" s="10">
        <v>50</v>
      </c>
      <c r="J98" s="10">
        <v>50</v>
      </c>
      <c r="K98" s="14">
        <v>1.2</v>
      </c>
      <c r="L98" s="10">
        <v>25</v>
      </c>
      <c r="M98" s="15">
        <v>0.65</v>
      </c>
      <c r="N98" s="10">
        <v>20</v>
      </c>
      <c r="O98" s="10">
        <v>8</v>
      </c>
      <c r="U98" s="20">
        <f t="shared" ref="U98:W161" ca="1" si="26">RANDBETWEEN(0,100)/100</f>
        <v>0.59</v>
      </c>
      <c r="V98" s="20">
        <f t="shared" ca="1" si="26"/>
        <v>0.47</v>
      </c>
      <c r="W98" s="20">
        <f t="shared" ca="1" si="26"/>
        <v>0.14000000000000001</v>
      </c>
      <c r="X98">
        <f t="shared" ca="1" si="22"/>
        <v>36.678150000000002</v>
      </c>
      <c r="Y98">
        <f t="shared" ca="1" si="23"/>
        <v>47.582079999999998</v>
      </c>
      <c r="Z98" s="19">
        <f t="shared" ref="Z98:AB161" ca="1" si="27">RANDBETWEEN(0,100)/100</f>
        <v>0.01</v>
      </c>
      <c r="AA98" s="19">
        <f t="shared" ca="1" si="27"/>
        <v>0.08</v>
      </c>
      <c r="AB98" s="19">
        <f t="shared" ca="1" si="27"/>
        <v>0.17</v>
      </c>
      <c r="AC98">
        <f t="shared" ca="1" si="24"/>
        <v>36.792430000000003</v>
      </c>
      <c r="AD98">
        <f t="shared" ca="1" si="25"/>
        <v>47.602400000000003</v>
      </c>
      <c r="AE98">
        <f t="shared" ca="1" si="17"/>
        <v>2429</v>
      </c>
      <c r="AF98">
        <f t="shared" ca="1" si="18"/>
        <v>36.242899999999999</v>
      </c>
      <c r="AI98" s="10" t="s">
        <v>40</v>
      </c>
      <c r="AJ98" t="str">
        <f t="shared" si="19"/>
        <v>BTR-80  #97</v>
      </c>
      <c r="AL98" s="10">
        <f t="shared" ca="1" si="20"/>
        <v>937</v>
      </c>
      <c r="AM98" s="10">
        <f t="shared" ca="1" si="21"/>
        <v>47.793700000000001</v>
      </c>
    </row>
    <row r="99" spans="1:39" x14ac:dyDescent="0.25">
      <c r="A99" s="10">
        <v>98</v>
      </c>
      <c r="B99" s="10" t="s">
        <v>142</v>
      </c>
      <c r="C99" s="10" t="s">
        <v>15</v>
      </c>
      <c r="D99" s="10" t="s">
        <v>18</v>
      </c>
      <c r="E99" s="11">
        <v>36.601439999999997</v>
      </c>
      <c r="F99" s="11">
        <v>47.645200000000003</v>
      </c>
      <c r="G99" s="12">
        <v>1.5E-3</v>
      </c>
      <c r="H99" s="13">
        <v>90</v>
      </c>
      <c r="I99" s="10">
        <v>100</v>
      </c>
      <c r="J99" s="10">
        <v>100</v>
      </c>
      <c r="K99" s="14">
        <v>0.4</v>
      </c>
      <c r="L99" s="10">
        <v>15</v>
      </c>
      <c r="M99" s="15">
        <v>0.6</v>
      </c>
      <c r="N99" s="10">
        <v>5</v>
      </c>
      <c r="O99" s="10">
        <v>10</v>
      </c>
      <c r="U99" s="20">
        <f t="shared" ca="1" si="26"/>
        <v>0.65</v>
      </c>
      <c r="V99" s="20">
        <f t="shared" ca="1" si="26"/>
        <v>0.28999999999999998</v>
      </c>
      <c r="W99" s="20">
        <f t="shared" ca="1" si="26"/>
        <v>0.19</v>
      </c>
      <c r="X99">
        <f t="shared" ca="1" si="22"/>
        <v>36.664079999999998</v>
      </c>
      <c r="Y99">
        <f t="shared" ca="1" si="23"/>
        <v>47.612760000000002</v>
      </c>
      <c r="Z99" s="19">
        <f t="shared" ca="1" si="27"/>
        <v>0.85</v>
      </c>
      <c r="AA99" s="19">
        <f t="shared" ca="1" si="27"/>
        <v>0.72</v>
      </c>
      <c r="AB99" s="19">
        <f t="shared" ca="1" si="27"/>
        <v>0.71</v>
      </c>
      <c r="AC99">
        <f t="shared" ca="1" si="24"/>
        <v>36.817030000000003</v>
      </c>
      <c r="AD99">
        <f t="shared" ca="1" si="25"/>
        <v>47.672550000000001</v>
      </c>
      <c r="AE99">
        <f t="shared" ca="1" si="17"/>
        <v>4113</v>
      </c>
      <c r="AF99">
        <f t="shared" ca="1" si="18"/>
        <v>36.411299999999997</v>
      </c>
      <c r="AI99" s="10" t="s">
        <v>41</v>
      </c>
      <c r="AJ99" t="str">
        <f t="shared" si="19"/>
        <v>Infantry Squad  #98</v>
      </c>
      <c r="AL99" s="10">
        <f t="shared" ca="1" si="20"/>
        <v>789</v>
      </c>
      <c r="AM99" s="10">
        <f t="shared" ca="1" si="21"/>
        <v>47.7789</v>
      </c>
    </row>
    <row r="100" spans="1:39" x14ac:dyDescent="0.25">
      <c r="A100" s="10">
        <v>99</v>
      </c>
      <c r="B100" s="10" t="s">
        <v>143</v>
      </c>
      <c r="C100" s="10" t="s">
        <v>15</v>
      </c>
      <c r="D100" s="10" t="s">
        <v>18</v>
      </c>
      <c r="E100" s="11">
        <v>36.57159</v>
      </c>
      <c r="F100" s="11">
        <v>47.662239999999997</v>
      </c>
      <c r="G100" s="12">
        <v>1.5E-3</v>
      </c>
      <c r="H100" s="13">
        <v>90</v>
      </c>
      <c r="I100" s="10">
        <v>100</v>
      </c>
      <c r="J100" s="10">
        <v>100</v>
      </c>
      <c r="K100" s="14">
        <v>0.4</v>
      </c>
      <c r="L100" s="10">
        <v>15</v>
      </c>
      <c r="M100" s="15">
        <v>0.6</v>
      </c>
      <c r="N100" s="10">
        <v>5</v>
      </c>
      <c r="O100" s="10">
        <v>10</v>
      </c>
      <c r="U100" s="20">
        <f t="shared" ca="1" si="26"/>
        <v>0.49</v>
      </c>
      <c r="V100" s="20">
        <f t="shared" ca="1" si="26"/>
        <v>0.88</v>
      </c>
      <c r="W100" s="20">
        <f t="shared" ca="1" si="26"/>
        <v>0.42</v>
      </c>
      <c r="X100">
        <f t="shared" ca="1" si="22"/>
        <v>36.73321</v>
      </c>
      <c r="Y100">
        <f t="shared" ca="1" si="23"/>
        <v>47.591180000000001</v>
      </c>
      <c r="Z100" s="19">
        <f t="shared" ca="1" si="27"/>
        <v>0.59</v>
      </c>
      <c r="AA100" s="19">
        <f t="shared" ca="1" si="27"/>
        <v>0.86</v>
      </c>
      <c r="AB100" s="19">
        <f t="shared" ca="1" si="27"/>
        <v>0.75</v>
      </c>
      <c r="AC100">
        <f t="shared" ca="1" si="24"/>
        <v>36.81955</v>
      </c>
      <c r="AD100">
        <f t="shared" ca="1" si="25"/>
        <v>47.681139999999999</v>
      </c>
      <c r="AE100">
        <f t="shared" ca="1" si="17"/>
        <v>805</v>
      </c>
      <c r="AF100">
        <f t="shared" ca="1" si="18"/>
        <v>36.080500000000001</v>
      </c>
      <c r="AI100" s="10" t="s">
        <v>41</v>
      </c>
      <c r="AJ100" t="str">
        <f t="shared" si="19"/>
        <v>Infantry Squad  #99</v>
      </c>
      <c r="AL100" s="10">
        <f t="shared" ca="1" si="20"/>
        <v>856</v>
      </c>
      <c r="AM100" s="10">
        <f t="shared" ca="1" si="21"/>
        <v>47.785600000000002</v>
      </c>
    </row>
    <row r="101" spans="1:39" x14ac:dyDescent="0.25">
      <c r="A101" s="10">
        <v>100</v>
      </c>
      <c r="B101" s="10" t="s">
        <v>144</v>
      </c>
      <c r="C101" s="10" t="s">
        <v>15</v>
      </c>
      <c r="D101" s="10" t="s">
        <v>18</v>
      </c>
      <c r="E101" s="11">
        <v>36.712060000000001</v>
      </c>
      <c r="F101" s="11">
        <v>47.559699999999999</v>
      </c>
      <c r="G101" s="12">
        <v>1.5E-3</v>
      </c>
      <c r="H101" s="13">
        <v>90</v>
      </c>
      <c r="I101" s="10">
        <v>100</v>
      </c>
      <c r="J101" s="10">
        <v>100</v>
      </c>
      <c r="K101" s="14">
        <v>0.4</v>
      </c>
      <c r="L101" s="10">
        <v>15</v>
      </c>
      <c r="M101" s="15">
        <v>0.6</v>
      </c>
      <c r="N101" s="10">
        <v>5</v>
      </c>
      <c r="O101" s="10">
        <v>10</v>
      </c>
      <c r="U101" s="20">
        <f t="shared" ca="1" si="26"/>
        <v>0.57999999999999996</v>
      </c>
      <c r="V101" s="20">
        <f t="shared" ca="1" si="26"/>
        <v>0.69</v>
      </c>
      <c r="W101" s="20">
        <f t="shared" ca="1" si="26"/>
        <v>0.31</v>
      </c>
      <c r="X101">
        <f t="shared" ca="1" si="22"/>
        <v>36.708820000000003</v>
      </c>
      <c r="Y101">
        <f t="shared" ca="1" si="23"/>
        <v>47.585369999999998</v>
      </c>
      <c r="Z101" s="19">
        <f t="shared" ca="1" si="27"/>
        <v>0.98</v>
      </c>
      <c r="AA101" s="19">
        <f t="shared" ca="1" si="27"/>
        <v>0.31</v>
      </c>
      <c r="AB101" s="19">
        <f t="shared" ca="1" si="27"/>
        <v>0.2</v>
      </c>
      <c r="AC101">
        <f t="shared" ca="1" si="24"/>
        <v>36.822380000000003</v>
      </c>
      <c r="AD101">
        <f t="shared" ca="1" si="25"/>
        <v>47.633409999999998</v>
      </c>
      <c r="AE101">
        <f t="shared" ca="1" si="17"/>
        <v>6544</v>
      </c>
      <c r="AF101">
        <f t="shared" ca="1" si="18"/>
        <v>36.654400000000003</v>
      </c>
      <c r="AI101" s="10" t="s">
        <v>41</v>
      </c>
      <c r="AJ101" t="str">
        <f t="shared" si="19"/>
        <v>Infantry Squad  #100</v>
      </c>
      <c r="AL101" s="10">
        <f t="shared" ca="1" si="20"/>
        <v>959</v>
      </c>
      <c r="AM101" s="10">
        <f t="shared" ca="1" si="21"/>
        <v>47.795900000000003</v>
      </c>
    </row>
    <row r="102" spans="1:39" x14ac:dyDescent="0.25">
      <c r="A102" s="10">
        <v>101</v>
      </c>
      <c r="B102" s="10" t="s">
        <v>145</v>
      </c>
      <c r="C102" s="10" t="s">
        <v>15</v>
      </c>
      <c r="D102" s="10" t="s">
        <v>16</v>
      </c>
      <c r="E102" s="11">
        <v>36.720140000000001</v>
      </c>
      <c r="F102" s="11">
        <v>47.643639999999998</v>
      </c>
      <c r="G102" s="12">
        <v>2E-3</v>
      </c>
      <c r="H102" s="13">
        <v>90</v>
      </c>
      <c r="I102" s="10">
        <v>100</v>
      </c>
      <c r="J102" s="10">
        <v>100</v>
      </c>
      <c r="K102" s="14">
        <v>2.5</v>
      </c>
      <c r="L102" s="10">
        <v>80</v>
      </c>
      <c r="M102" s="15">
        <v>0.75</v>
      </c>
      <c r="N102" s="10">
        <v>80</v>
      </c>
      <c r="O102" s="10">
        <v>3</v>
      </c>
      <c r="U102" s="20">
        <f t="shared" ca="1" si="26"/>
        <v>1</v>
      </c>
      <c r="V102" s="20">
        <f t="shared" ca="1" si="26"/>
        <v>0.31</v>
      </c>
      <c r="W102" s="20">
        <f t="shared" ca="1" si="26"/>
        <v>0.63</v>
      </c>
      <c r="X102">
        <f t="shared" ca="1" si="22"/>
        <v>36.690750000000001</v>
      </c>
      <c r="Y102">
        <f t="shared" ca="1" si="23"/>
        <v>47.658799999999999</v>
      </c>
      <c r="Z102" s="19">
        <f t="shared" ca="1" si="27"/>
        <v>0.59</v>
      </c>
      <c r="AA102" s="19">
        <f t="shared" ca="1" si="27"/>
        <v>0.34</v>
      </c>
      <c r="AB102" s="19">
        <f t="shared" ca="1" si="27"/>
        <v>0.36</v>
      </c>
      <c r="AC102">
        <f t="shared" ca="1" si="24"/>
        <v>36.816470000000002</v>
      </c>
      <c r="AD102">
        <f t="shared" ca="1" si="25"/>
        <v>47.639650000000003</v>
      </c>
      <c r="AE102">
        <f t="shared" ca="1" si="17"/>
        <v>170</v>
      </c>
      <c r="AF102">
        <f t="shared" ca="1" si="18"/>
        <v>36.017000000000003</v>
      </c>
      <c r="AI102" s="10" t="s">
        <v>37</v>
      </c>
      <c r="AJ102" t="str">
        <f t="shared" si="19"/>
        <v>T-72B3 Tank  #101</v>
      </c>
      <c r="AL102" s="10">
        <f t="shared" ca="1" si="20"/>
        <v>79</v>
      </c>
      <c r="AM102" s="10">
        <f t="shared" ca="1" si="21"/>
        <v>47.707900000000002</v>
      </c>
    </row>
    <row r="103" spans="1:39" x14ac:dyDescent="0.25">
      <c r="A103" s="10">
        <v>102</v>
      </c>
      <c r="B103" s="10" t="s">
        <v>146</v>
      </c>
      <c r="C103" s="10" t="s">
        <v>15</v>
      </c>
      <c r="D103" s="10" t="s">
        <v>16</v>
      </c>
      <c r="E103" s="11">
        <v>36.677790000000002</v>
      </c>
      <c r="F103" s="11">
        <v>47.643909999999998</v>
      </c>
      <c r="G103" s="12">
        <v>2E-3</v>
      </c>
      <c r="H103" s="13">
        <v>90</v>
      </c>
      <c r="I103" s="10">
        <v>100</v>
      </c>
      <c r="J103" s="10">
        <v>100</v>
      </c>
      <c r="K103" s="14">
        <v>2.5</v>
      </c>
      <c r="L103" s="10">
        <v>80</v>
      </c>
      <c r="M103" s="15">
        <v>0.75</v>
      </c>
      <c r="N103" s="10">
        <v>80</v>
      </c>
      <c r="O103" s="10">
        <v>3</v>
      </c>
      <c r="U103" s="20">
        <f t="shared" ca="1" si="26"/>
        <v>0.38</v>
      </c>
      <c r="V103" s="20">
        <f t="shared" ca="1" si="26"/>
        <v>0.71</v>
      </c>
      <c r="W103" s="20">
        <f t="shared" ca="1" si="26"/>
        <v>0.93</v>
      </c>
      <c r="X103">
        <f t="shared" ca="1" si="22"/>
        <v>36.672460000000001</v>
      </c>
      <c r="Y103">
        <f t="shared" ca="1" si="23"/>
        <v>47.537379999999999</v>
      </c>
      <c r="Z103" s="19">
        <f t="shared" ca="1" si="27"/>
        <v>0.91</v>
      </c>
      <c r="AA103" s="19">
        <f t="shared" ca="1" si="27"/>
        <v>0.05</v>
      </c>
      <c r="AB103" s="19">
        <f t="shared" ca="1" si="27"/>
        <v>0.69</v>
      </c>
      <c r="AC103">
        <f t="shared" ca="1" si="24"/>
        <v>36.76811</v>
      </c>
      <c r="AD103">
        <f t="shared" ca="1" si="25"/>
        <v>47.61889</v>
      </c>
      <c r="AE103">
        <f t="shared" ca="1" si="17"/>
        <v>2834</v>
      </c>
      <c r="AF103">
        <f t="shared" ca="1" si="18"/>
        <v>36.2834</v>
      </c>
      <c r="AI103" s="10" t="s">
        <v>37</v>
      </c>
      <c r="AJ103" t="str">
        <f t="shared" si="19"/>
        <v>T-72B3 Tank  #102</v>
      </c>
      <c r="AL103" s="10">
        <f t="shared" ca="1" si="20"/>
        <v>95</v>
      </c>
      <c r="AM103" s="10">
        <f t="shared" ca="1" si="21"/>
        <v>47.709500000000006</v>
      </c>
    </row>
    <row r="104" spans="1:39" x14ac:dyDescent="0.25">
      <c r="A104" s="10">
        <v>103</v>
      </c>
      <c r="B104" s="10" t="s">
        <v>147</v>
      </c>
      <c r="C104" s="10" t="s">
        <v>15</v>
      </c>
      <c r="D104" s="10" t="s">
        <v>16</v>
      </c>
      <c r="E104" s="11">
        <v>36.608649999999997</v>
      </c>
      <c r="F104" s="11">
        <v>47.641590000000001</v>
      </c>
      <c r="G104" s="12">
        <v>2.5000000000000001E-3</v>
      </c>
      <c r="H104" s="13">
        <v>90</v>
      </c>
      <c r="I104" s="10">
        <v>110</v>
      </c>
      <c r="J104" s="10">
        <v>110</v>
      </c>
      <c r="K104" s="14">
        <v>2.8</v>
      </c>
      <c r="L104" s="10">
        <v>85</v>
      </c>
      <c r="M104" s="15">
        <v>0.78</v>
      </c>
      <c r="N104" s="10">
        <v>85</v>
      </c>
      <c r="O104" s="10">
        <v>3</v>
      </c>
      <c r="U104" s="20">
        <f t="shared" ca="1" si="26"/>
        <v>0.46</v>
      </c>
      <c r="V104" s="20">
        <f t="shared" ca="1" si="26"/>
        <v>0.71</v>
      </c>
      <c r="W104" s="20">
        <f t="shared" ca="1" si="26"/>
        <v>0.3</v>
      </c>
      <c r="X104">
        <f t="shared" ca="1" si="22"/>
        <v>36.709539999999997</v>
      </c>
      <c r="Y104">
        <f t="shared" ca="1" si="23"/>
        <v>47.582030000000003</v>
      </c>
      <c r="Z104" s="19">
        <f t="shared" ca="1" si="27"/>
        <v>0.95</v>
      </c>
      <c r="AA104" s="19">
        <f t="shared" ca="1" si="27"/>
        <v>0.99</v>
      </c>
      <c r="AB104" s="19">
        <f t="shared" ca="1" si="27"/>
        <v>0.76</v>
      </c>
      <c r="AC104">
        <f t="shared" ca="1" si="24"/>
        <v>36.823630000000001</v>
      </c>
      <c r="AD104">
        <f t="shared" ca="1" si="25"/>
        <v>47.687559999999998</v>
      </c>
      <c r="AE104">
        <f t="shared" ca="1" si="17"/>
        <v>5890</v>
      </c>
      <c r="AF104">
        <f t="shared" ca="1" si="18"/>
        <v>36.588999999999999</v>
      </c>
      <c r="AI104" s="10" t="s">
        <v>38</v>
      </c>
      <c r="AJ104" t="str">
        <f t="shared" si="19"/>
        <v>T-80BVM Tank  #103</v>
      </c>
      <c r="AL104" s="10">
        <f t="shared" ca="1" si="20"/>
        <v>692</v>
      </c>
      <c r="AM104" s="10">
        <f t="shared" ca="1" si="21"/>
        <v>47.769200000000005</v>
      </c>
    </row>
    <row r="105" spans="1:39" x14ac:dyDescent="0.25">
      <c r="A105" s="10">
        <v>104</v>
      </c>
      <c r="B105" s="10" t="s">
        <v>148</v>
      </c>
      <c r="C105" s="10" t="s">
        <v>15</v>
      </c>
      <c r="D105" s="10" t="s">
        <v>16</v>
      </c>
      <c r="E105" s="11">
        <v>36.706859999999999</v>
      </c>
      <c r="F105" s="11">
        <v>47.560459999999999</v>
      </c>
      <c r="G105" s="12">
        <v>2E-3</v>
      </c>
      <c r="H105" s="13">
        <v>90</v>
      </c>
      <c r="I105" s="10">
        <v>100</v>
      </c>
      <c r="J105" s="10">
        <v>100</v>
      </c>
      <c r="K105" s="14">
        <v>2.5</v>
      </c>
      <c r="L105" s="10">
        <v>80</v>
      </c>
      <c r="M105" s="15">
        <v>0.75</v>
      </c>
      <c r="N105" s="10">
        <v>80</v>
      </c>
      <c r="O105" s="10">
        <v>3</v>
      </c>
      <c r="U105" s="20">
        <f t="shared" ca="1" si="26"/>
        <v>0.42</v>
      </c>
      <c r="V105" s="20">
        <f t="shared" ca="1" si="26"/>
        <v>0.02</v>
      </c>
      <c r="W105" s="20">
        <f t="shared" ca="1" si="26"/>
        <v>0.6</v>
      </c>
      <c r="X105">
        <f t="shared" ca="1" si="22"/>
        <v>36.602829999999997</v>
      </c>
      <c r="Y105">
        <f t="shared" ca="1" si="23"/>
        <v>47.677370000000003</v>
      </c>
      <c r="Z105" s="19">
        <f t="shared" ca="1" si="27"/>
        <v>0.35</v>
      </c>
      <c r="AA105" s="19">
        <f t="shared" ca="1" si="27"/>
        <v>0.94</v>
      </c>
      <c r="AB105" s="19">
        <f t="shared" ca="1" si="27"/>
        <v>0.53</v>
      </c>
      <c r="AC105">
        <f t="shared" ca="1" si="24"/>
        <v>36.895429999999998</v>
      </c>
      <c r="AD105">
        <f t="shared" ca="1" si="25"/>
        <v>47.625689999999999</v>
      </c>
      <c r="AE105">
        <f t="shared" ca="1" si="17"/>
        <v>301</v>
      </c>
      <c r="AF105">
        <f t="shared" ca="1" si="18"/>
        <v>36.030099999999997</v>
      </c>
      <c r="AI105" s="10" t="s">
        <v>37</v>
      </c>
      <c r="AJ105" t="str">
        <f t="shared" si="19"/>
        <v>T-72B3 Tank  #104</v>
      </c>
      <c r="AL105" s="10">
        <f t="shared" ca="1" si="20"/>
        <v>166</v>
      </c>
      <c r="AM105" s="10">
        <f t="shared" ca="1" si="21"/>
        <v>47.7166</v>
      </c>
    </row>
    <row r="106" spans="1:39" x14ac:dyDescent="0.25">
      <c r="A106" s="10">
        <v>105</v>
      </c>
      <c r="B106" s="10" t="s">
        <v>149</v>
      </c>
      <c r="C106" s="10" t="s">
        <v>15</v>
      </c>
      <c r="D106" s="10" t="s">
        <v>16</v>
      </c>
      <c r="E106" s="11">
        <v>36.696060000000003</v>
      </c>
      <c r="F106" s="11">
        <v>47.555070000000001</v>
      </c>
      <c r="G106" s="12">
        <v>2.5000000000000001E-3</v>
      </c>
      <c r="H106" s="13">
        <v>90</v>
      </c>
      <c r="I106" s="10">
        <v>110</v>
      </c>
      <c r="J106" s="10">
        <v>110</v>
      </c>
      <c r="K106" s="14">
        <v>2.8</v>
      </c>
      <c r="L106" s="10">
        <v>85</v>
      </c>
      <c r="M106" s="15">
        <v>0.78</v>
      </c>
      <c r="N106" s="10">
        <v>85</v>
      </c>
      <c r="O106" s="10">
        <v>3</v>
      </c>
      <c r="U106" s="20">
        <f t="shared" ca="1" si="26"/>
        <v>0.96</v>
      </c>
      <c r="V106" s="20">
        <f t="shared" ca="1" si="26"/>
        <v>0.23</v>
      </c>
      <c r="W106" s="20">
        <f t="shared" ca="1" si="26"/>
        <v>0.63</v>
      </c>
      <c r="X106">
        <f t="shared" ca="1" si="22"/>
        <v>36.678170000000001</v>
      </c>
      <c r="Y106">
        <f t="shared" ca="1" si="23"/>
        <v>47.66451</v>
      </c>
      <c r="Z106" s="19">
        <f t="shared" ca="1" si="27"/>
        <v>0.45</v>
      </c>
      <c r="AA106" s="19">
        <f t="shared" ca="1" si="27"/>
        <v>0.21</v>
      </c>
      <c r="AB106" s="19">
        <f t="shared" ca="1" si="27"/>
        <v>0.38</v>
      </c>
      <c r="AC106">
        <f t="shared" ca="1" si="24"/>
        <v>36.801319999999997</v>
      </c>
      <c r="AD106">
        <f t="shared" ca="1" si="25"/>
        <v>47.631619999999998</v>
      </c>
      <c r="AE106">
        <f t="shared" ca="1" si="17"/>
        <v>5194</v>
      </c>
      <c r="AF106">
        <f t="shared" ca="1" si="18"/>
        <v>36.519399999999997</v>
      </c>
      <c r="AI106" s="10" t="s">
        <v>38</v>
      </c>
      <c r="AJ106" t="str">
        <f t="shared" si="19"/>
        <v>T-80BVM Tank  #105</v>
      </c>
      <c r="AL106" s="10">
        <f t="shared" ca="1" si="20"/>
        <v>918</v>
      </c>
      <c r="AM106" s="10">
        <f t="shared" ca="1" si="21"/>
        <v>47.791800000000002</v>
      </c>
    </row>
    <row r="107" spans="1:39" x14ac:dyDescent="0.25">
      <c r="A107" s="10">
        <v>106</v>
      </c>
      <c r="B107" s="10" t="s">
        <v>150</v>
      </c>
      <c r="C107" s="10" t="s">
        <v>15</v>
      </c>
      <c r="D107" s="10" t="s">
        <v>17</v>
      </c>
      <c r="E107" s="11">
        <v>36.588569999999997</v>
      </c>
      <c r="F107" s="11">
        <v>47.679740000000002</v>
      </c>
      <c r="G107" s="12">
        <v>3.0000000000000001E-3</v>
      </c>
      <c r="H107" s="13">
        <v>90</v>
      </c>
      <c r="I107" s="10">
        <v>60</v>
      </c>
      <c r="J107" s="10">
        <v>60</v>
      </c>
      <c r="K107" s="14">
        <v>1.5</v>
      </c>
      <c r="L107" s="10">
        <v>40</v>
      </c>
      <c r="M107" s="15">
        <v>0.7</v>
      </c>
      <c r="N107" s="10">
        <v>30</v>
      </c>
      <c r="O107" s="10">
        <v>7</v>
      </c>
      <c r="U107" s="20">
        <f t="shared" ca="1" si="26"/>
        <v>0.57999999999999996</v>
      </c>
      <c r="V107" s="20">
        <f t="shared" ca="1" si="26"/>
        <v>0.11</v>
      </c>
      <c r="W107" s="20">
        <f t="shared" ca="1" si="26"/>
        <v>0.81</v>
      </c>
      <c r="X107">
        <f t="shared" ca="1" si="22"/>
        <v>36.660029999999999</v>
      </c>
      <c r="Y107">
        <f t="shared" ca="1" si="23"/>
        <v>47.687399999999997</v>
      </c>
      <c r="Z107" s="19">
        <f t="shared" ca="1" si="27"/>
        <v>0.52</v>
      </c>
      <c r="AA107" s="19">
        <f t="shared" ca="1" si="27"/>
        <v>0.37</v>
      </c>
      <c r="AB107" s="19">
        <f t="shared" ca="1" si="27"/>
        <v>0.46</v>
      </c>
      <c r="AC107">
        <f t="shared" ca="1" si="24"/>
        <v>36.81326</v>
      </c>
      <c r="AD107">
        <f t="shared" ca="1" si="25"/>
        <v>47.644399999999997</v>
      </c>
      <c r="AE107">
        <f t="shared" ca="1" si="17"/>
        <v>8129</v>
      </c>
      <c r="AF107">
        <f t="shared" ca="1" si="18"/>
        <v>36.812899999999999</v>
      </c>
      <c r="AI107" s="10" t="s">
        <v>39</v>
      </c>
      <c r="AJ107" t="str">
        <f t="shared" si="19"/>
        <v>BMP-2  #106</v>
      </c>
      <c r="AL107" s="10">
        <f t="shared" ca="1" si="20"/>
        <v>721</v>
      </c>
      <c r="AM107" s="10">
        <f t="shared" ca="1" si="21"/>
        <v>47.772100000000002</v>
      </c>
    </row>
    <row r="108" spans="1:39" x14ac:dyDescent="0.25">
      <c r="A108" s="10">
        <v>107</v>
      </c>
      <c r="B108" s="10" t="s">
        <v>151</v>
      </c>
      <c r="C108" s="10" t="s">
        <v>15</v>
      </c>
      <c r="D108" s="10" t="s">
        <v>17</v>
      </c>
      <c r="E108" s="11">
        <v>36.659399999999998</v>
      </c>
      <c r="F108" s="11">
        <v>47.59252</v>
      </c>
      <c r="G108" s="12">
        <v>3.0000000000000001E-3</v>
      </c>
      <c r="H108" s="13">
        <v>90</v>
      </c>
      <c r="I108" s="10">
        <v>60</v>
      </c>
      <c r="J108" s="10">
        <v>60</v>
      </c>
      <c r="K108" s="14">
        <v>1.5</v>
      </c>
      <c r="L108" s="10">
        <v>40</v>
      </c>
      <c r="M108" s="15">
        <v>0.7</v>
      </c>
      <c r="N108" s="10">
        <v>30</v>
      </c>
      <c r="O108" s="10">
        <v>7</v>
      </c>
      <c r="U108" s="20">
        <f t="shared" ca="1" si="26"/>
        <v>0.31</v>
      </c>
      <c r="V108" s="20">
        <f t="shared" ca="1" si="26"/>
        <v>0.41</v>
      </c>
      <c r="W108" s="20">
        <f t="shared" ca="1" si="26"/>
        <v>0.68</v>
      </c>
      <c r="X108">
        <f t="shared" ca="1" si="22"/>
        <v>36.623049999999999</v>
      </c>
      <c r="Y108">
        <f t="shared" ca="1" si="23"/>
        <v>47.59243</v>
      </c>
      <c r="Z108" s="19">
        <f t="shared" ca="1" si="27"/>
        <v>0.39</v>
      </c>
      <c r="AA108" s="19">
        <f t="shared" ca="1" si="27"/>
        <v>0.93</v>
      </c>
      <c r="AB108" s="19">
        <f t="shared" ca="1" si="27"/>
        <v>0.7</v>
      </c>
      <c r="AC108">
        <f t="shared" ca="1" si="24"/>
        <v>36.827150000000003</v>
      </c>
      <c r="AD108">
        <f t="shared" ca="1" si="25"/>
        <v>47.68197</v>
      </c>
      <c r="AE108">
        <f t="shared" ca="1" si="17"/>
        <v>1009</v>
      </c>
      <c r="AF108">
        <f t="shared" ca="1" si="18"/>
        <v>36.100900000000003</v>
      </c>
      <c r="AI108" s="10" t="s">
        <v>39</v>
      </c>
      <c r="AJ108" t="str">
        <f t="shared" si="19"/>
        <v>BMP-2  #107</v>
      </c>
      <c r="AL108" s="10">
        <f t="shared" ca="1" si="20"/>
        <v>99</v>
      </c>
      <c r="AM108" s="10">
        <f t="shared" ca="1" si="21"/>
        <v>47.709900000000005</v>
      </c>
    </row>
    <row r="109" spans="1:39" x14ac:dyDescent="0.25">
      <c r="A109" s="10">
        <v>108</v>
      </c>
      <c r="B109" s="10" t="s">
        <v>152</v>
      </c>
      <c r="C109" s="10" t="s">
        <v>15</v>
      </c>
      <c r="D109" s="10" t="s">
        <v>17</v>
      </c>
      <c r="E109" s="11">
        <v>36.570900000000002</v>
      </c>
      <c r="F109" s="11">
        <v>47.636609999999997</v>
      </c>
      <c r="G109" s="12">
        <v>3.5000000000000001E-3</v>
      </c>
      <c r="H109" s="13">
        <v>90</v>
      </c>
      <c r="I109" s="10">
        <v>50</v>
      </c>
      <c r="J109" s="10">
        <v>50</v>
      </c>
      <c r="K109" s="14">
        <v>1.2</v>
      </c>
      <c r="L109" s="10">
        <v>25</v>
      </c>
      <c r="M109" s="15">
        <v>0.65</v>
      </c>
      <c r="N109" s="10">
        <v>20</v>
      </c>
      <c r="O109" s="10">
        <v>8</v>
      </c>
      <c r="U109" s="20">
        <f t="shared" ca="1" si="26"/>
        <v>0.79</v>
      </c>
      <c r="V109" s="20">
        <f t="shared" ca="1" si="26"/>
        <v>0.26</v>
      </c>
      <c r="W109" s="20">
        <f t="shared" ca="1" si="26"/>
        <v>0.21</v>
      </c>
      <c r="X109">
        <f t="shared" ca="1" si="22"/>
        <v>36.661700000000003</v>
      </c>
      <c r="Y109">
        <f t="shared" ca="1" si="23"/>
        <v>47.619439999999997</v>
      </c>
      <c r="Z109" s="19">
        <f t="shared" ca="1" si="27"/>
        <v>0.12</v>
      </c>
      <c r="AA109" s="19">
        <f t="shared" ca="1" si="27"/>
        <v>0.03</v>
      </c>
      <c r="AB109" s="19">
        <f t="shared" ca="1" si="27"/>
        <v>0.77</v>
      </c>
      <c r="AC109">
        <f t="shared" ca="1" si="24"/>
        <v>36.775979999999997</v>
      </c>
      <c r="AD109">
        <f t="shared" ca="1" si="25"/>
        <v>47.606670000000001</v>
      </c>
      <c r="AE109">
        <f t="shared" ca="1" si="17"/>
        <v>8516</v>
      </c>
      <c r="AF109">
        <f t="shared" ca="1" si="18"/>
        <v>36.851599999999998</v>
      </c>
      <c r="AI109" s="10" t="s">
        <v>40</v>
      </c>
      <c r="AJ109" t="str">
        <f t="shared" si="19"/>
        <v>BTR-80  #108</v>
      </c>
      <c r="AL109" s="10">
        <f t="shared" ca="1" si="20"/>
        <v>229</v>
      </c>
      <c r="AM109" s="10">
        <f t="shared" ca="1" si="21"/>
        <v>47.722900000000003</v>
      </c>
    </row>
    <row r="110" spans="1:39" x14ac:dyDescent="0.25">
      <c r="A110" s="10">
        <v>109</v>
      </c>
      <c r="B110" s="10" t="s">
        <v>153</v>
      </c>
      <c r="C110" s="10" t="s">
        <v>15</v>
      </c>
      <c r="D110" s="10" t="s">
        <v>17</v>
      </c>
      <c r="E110" s="11">
        <v>36.639600000000002</v>
      </c>
      <c r="F110" s="11">
        <v>47.590200000000003</v>
      </c>
      <c r="G110" s="12">
        <v>3.0000000000000001E-3</v>
      </c>
      <c r="H110" s="13">
        <v>90</v>
      </c>
      <c r="I110" s="10">
        <v>60</v>
      </c>
      <c r="J110" s="10">
        <v>60</v>
      </c>
      <c r="K110" s="14">
        <v>1.5</v>
      </c>
      <c r="L110" s="10">
        <v>40</v>
      </c>
      <c r="M110" s="15">
        <v>0.7</v>
      </c>
      <c r="N110" s="10">
        <v>30</v>
      </c>
      <c r="O110" s="10">
        <v>7</v>
      </c>
      <c r="U110" s="20">
        <f t="shared" ca="1" si="26"/>
        <v>0.59</v>
      </c>
      <c r="V110" s="20">
        <f t="shared" ca="1" si="26"/>
        <v>0.41</v>
      </c>
      <c r="W110" s="20">
        <f t="shared" ca="1" si="26"/>
        <v>0.93</v>
      </c>
      <c r="X110">
        <f t="shared" ca="1" si="22"/>
        <v>36.723579999999998</v>
      </c>
      <c r="Y110">
        <f t="shared" ca="1" si="23"/>
        <v>47.691040000000001</v>
      </c>
      <c r="Z110" s="19">
        <f t="shared" ca="1" si="27"/>
        <v>0.44</v>
      </c>
      <c r="AA110" s="19">
        <f t="shared" ca="1" si="27"/>
        <v>0.53</v>
      </c>
      <c r="AB110" s="19">
        <f t="shared" ca="1" si="27"/>
        <v>0.63</v>
      </c>
      <c r="AC110">
        <f t="shared" ca="1" si="24"/>
        <v>36.813339999999997</v>
      </c>
      <c r="AD110">
        <f t="shared" ca="1" si="25"/>
        <v>47.659329999999997</v>
      </c>
      <c r="AE110">
        <f t="shared" ca="1" si="17"/>
        <v>3605</v>
      </c>
      <c r="AF110">
        <f t="shared" ca="1" si="18"/>
        <v>36.360500000000002</v>
      </c>
      <c r="AI110" s="10" t="s">
        <v>39</v>
      </c>
      <c r="AJ110" t="str">
        <f t="shared" si="19"/>
        <v>BMP-2  #109</v>
      </c>
      <c r="AL110" s="10">
        <f t="shared" ca="1" si="20"/>
        <v>349</v>
      </c>
      <c r="AM110" s="10">
        <f t="shared" ca="1" si="21"/>
        <v>47.734900000000003</v>
      </c>
    </row>
    <row r="111" spans="1:39" x14ac:dyDescent="0.25">
      <c r="A111" s="10">
        <v>110</v>
      </c>
      <c r="B111" s="10" t="s">
        <v>154</v>
      </c>
      <c r="C111" s="10" t="s">
        <v>15</v>
      </c>
      <c r="D111" s="10" t="s">
        <v>17</v>
      </c>
      <c r="E111" s="11">
        <v>36.574039999999997</v>
      </c>
      <c r="F111" s="11">
        <v>47.604810000000001</v>
      </c>
      <c r="G111" s="12">
        <v>3.0000000000000001E-3</v>
      </c>
      <c r="H111" s="13">
        <v>90</v>
      </c>
      <c r="I111" s="10">
        <v>60</v>
      </c>
      <c r="J111" s="10">
        <v>60</v>
      </c>
      <c r="K111" s="14">
        <v>1.5</v>
      </c>
      <c r="L111" s="10">
        <v>40</v>
      </c>
      <c r="M111" s="15">
        <v>0.7</v>
      </c>
      <c r="N111" s="10">
        <v>30</v>
      </c>
      <c r="O111" s="10">
        <v>7</v>
      </c>
      <c r="U111" s="20">
        <f t="shared" ca="1" si="26"/>
        <v>0.95</v>
      </c>
      <c r="V111" s="20">
        <f t="shared" ca="1" si="26"/>
        <v>0.7</v>
      </c>
      <c r="W111" s="20">
        <f t="shared" ca="1" si="26"/>
        <v>0.84</v>
      </c>
      <c r="X111">
        <f t="shared" ca="1" si="22"/>
        <v>36.753950000000003</v>
      </c>
      <c r="Y111">
        <f t="shared" ca="1" si="23"/>
        <v>47.673229999999997</v>
      </c>
      <c r="Z111" s="19">
        <f t="shared" ca="1" si="27"/>
        <v>0.96</v>
      </c>
      <c r="AA111" s="19">
        <f t="shared" ca="1" si="27"/>
        <v>0.02</v>
      </c>
      <c r="AB111" s="19">
        <f t="shared" ca="1" si="27"/>
        <v>0.45</v>
      </c>
      <c r="AC111">
        <f t="shared" ca="1" si="24"/>
        <v>36.764850000000003</v>
      </c>
      <c r="AD111">
        <f t="shared" ca="1" si="25"/>
        <v>47.610250000000001</v>
      </c>
      <c r="AE111">
        <f t="shared" ca="1" si="17"/>
        <v>5659</v>
      </c>
      <c r="AF111">
        <f t="shared" ca="1" si="18"/>
        <v>36.565899999999999</v>
      </c>
      <c r="AI111" s="10" t="s">
        <v>39</v>
      </c>
      <c r="AJ111" t="str">
        <f t="shared" si="19"/>
        <v>BMP-2  #110</v>
      </c>
      <c r="AL111" s="10">
        <f t="shared" ca="1" si="20"/>
        <v>768</v>
      </c>
      <c r="AM111" s="10">
        <f t="shared" ca="1" si="21"/>
        <v>47.776800000000001</v>
      </c>
    </row>
    <row r="112" spans="1:39" x14ac:dyDescent="0.25">
      <c r="A112" s="10">
        <v>111</v>
      </c>
      <c r="B112" s="10" t="s">
        <v>155</v>
      </c>
      <c r="C112" s="10" t="s">
        <v>15</v>
      </c>
      <c r="D112" s="10" t="s">
        <v>17</v>
      </c>
      <c r="E112" s="11">
        <v>36.666260000000001</v>
      </c>
      <c r="F112" s="11">
        <v>47.6098</v>
      </c>
      <c r="G112" s="12">
        <v>3.5000000000000001E-3</v>
      </c>
      <c r="H112" s="13">
        <v>90</v>
      </c>
      <c r="I112" s="10">
        <v>50</v>
      </c>
      <c r="J112" s="10">
        <v>50</v>
      </c>
      <c r="K112" s="14">
        <v>1.2</v>
      </c>
      <c r="L112" s="10">
        <v>25</v>
      </c>
      <c r="M112" s="15">
        <v>0.65</v>
      </c>
      <c r="N112" s="10">
        <v>20</v>
      </c>
      <c r="O112" s="10">
        <v>8</v>
      </c>
      <c r="U112" s="20">
        <f t="shared" ca="1" si="26"/>
        <v>0.5</v>
      </c>
      <c r="V112" s="20">
        <f t="shared" ca="1" si="26"/>
        <v>0.61</v>
      </c>
      <c r="W112" s="20">
        <f t="shared" ca="1" si="26"/>
        <v>0.21</v>
      </c>
      <c r="X112">
        <f t="shared" ca="1" si="22"/>
        <v>36.694499999999998</v>
      </c>
      <c r="Y112">
        <f t="shared" ca="1" si="23"/>
        <v>47.576599999999999</v>
      </c>
      <c r="Z112" s="19">
        <f t="shared" ca="1" si="27"/>
        <v>0.23</v>
      </c>
      <c r="AA112" s="19">
        <f t="shared" ca="1" si="27"/>
        <v>0.64</v>
      </c>
      <c r="AB112" s="19">
        <f t="shared" ca="1" si="27"/>
        <v>0.45</v>
      </c>
      <c r="AC112">
        <f t="shared" ca="1" si="24"/>
        <v>36.869999999999997</v>
      </c>
      <c r="AD112">
        <f t="shared" ca="1" si="25"/>
        <v>47.618000000000002</v>
      </c>
      <c r="AE112">
        <f t="shared" ca="1" si="17"/>
        <v>9811</v>
      </c>
      <c r="AF112">
        <f t="shared" ca="1" si="18"/>
        <v>36.981099999999998</v>
      </c>
      <c r="AI112" s="10" t="s">
        <v>40</v>
      </c>
      <c r="AJ112" t="str">
        <f t="shared" si="19"/>
        <v>BTR-80  #111</v>
      </c>
      <c r="AL112" s="10">
        <f t="shared" ca="1" si="20"/>
        <v>741</v>
      </c>
      <c r="AM112" s="10">
        <f t="shared" ca="1" si="21"/>
        <v>47.774100000000004</v>
      </c>
    </row>
    <row r="113" spans="1:39" x14ac:dyDescent="0.25">
      <c r="A113" s="10">
        <v>112</v>
      </c>
      <c r="B113" s="10" t="s">
        <v>156</v>
      </c>
      <c r="C113" s="10" t="s">
        <v>15</v>
      </c>
      <c r="D113" s="10" t="s">
        <v>17</v>
      </c>
      <c r="E113" s="11">
        <v>36.623539999999998</v>
      </c>
      <c r="F113" s="11">
        <v>47.552399999999999</v>
      </c>
      <c r="G113" s="12">
        <v>3.0000000000000001E-3</v>
      </c>
      <c r="H113" s="13">
        <v>90</v>
      </c>
      <c r="I113" s="10">
        <v>60</v>
      </c>
      <c r="J113" s="10">
        <v>60</v>
      </c>
      <c r="K113" s="14">
        <v>1.5</v>
      </c>
      <c r="L113" s="10">
        <v>40</v>
      </c>
      <c r="M113" s="15">
        <v>0.7</v>
      </c>
      <c r="N113" s="10">
        <v>30</v>
      </c>
      <c r="O113" s="10">
        <v>7</v>
      </c>
      <c r="U113" s="20">
        <f t="shared" ca="1" si="26"/>
        <v>0.66</v>
      </c>
      <c r="V113" s="20">
        <f t="shared" ca="1" si="26"/>
        <v>0.51</v>
      </c>
      <c r="W113" s="20">
        <f t="shared" ca="1" si="26"/>
        <v>0.26</v>
      </c>
      <c r="X113">
        <f t="shared" ca="1" si="22"/>
        <v>36.689979999999998</v>
      </c>
      <c r="Y113">
        <f t="shared" ca="1" si="23"/>
        <v>47.59431</v>
      </c>
      <c r="Z113" s="19">
        <f t="shared" ca="1" si="27"/>
        <v>0.16</v>
      </c>
      <c r="AA113" s="19">
        <f t="shared" ca="1" si="27"/>
        <v>0.7</v>
      </c>
      <c r="AB113" s="19">
        <f t="shared" ca="1" si="27"/>
        <v>0.51</v>
      </c>
      <c r="AC113">
        <f t="shared" ca="1" si="24"/>
        <v>36.875500000000002</v>
      </c>
      <c r="AD113">
        <f t="shared" ca="1" si="25"/>
        <v>47.62133</v>
      </c>
      <c r="AE113">
        <f t="shared" ca="1" si="17"/>
        <v>463</v>
      </c>
      <c r="AF113">
        <f t="shared" ca="1" si="18"/>
        <v>36.046300000000002</v>
      </c>
      <c r="AI113" s="10" t="s">
        <v>39</v>
      </c>
      <c r="AJ113" t="str">
        <f t="shared" si="19"/>
        <v>BMP-2  #112</v>
      </c>
      <c r="AL113" s="10">
        <f t="shared" ca="1" si="20"/>
        <v>809</v>
      </c>
      <c r="AM113" s="10">
        <f t="shared" ca="1" si="21"/>
        <v>47.780900000000003</v>
      </c>
    </row>
    <row r="114" spans="1:39" x14ac:dyDescent="0.25">
      <c r="A114" s="10">
        <v>113</v>
      </c>
      <c r="B114" s="10" t="s">
        <v>157</v>
      </c>
      <c r="C114" s="10" t="s">
        <v>15</v>
      </c>
      <c r="D114" s="10" t="s">
        <v>17</v>
      </c>
      <c r="E114" s="11">
        <v>36.633650000000003</v>
      </c>
      <c r="F114" s="11">
        <v>47.60669</v>
      </c>
      <c r="G114" s="12">
        <v>3.0000000000000001E-3</v>
      </c>
      <c r="H114" s="13">
        <v>90</v>
      </c>
      <c r="I114" s="10">
        <v>60</v>
      </c>
      <c r="J114" s="10">
        <v>60</v>
      </c>
      <c r="K114" s="14">
        <v>1.5</v>
      </c>
      <c r="L114" s="10">
        <v>40</v>
      </c>
      <c r="M114" s="15">
        <v>0.7</v>
      </c>
      <c r="N114" s="10">
        <v>30</v>
      </c>
      <c r="O114" s="10">
        <v>7</v>
      </c>
      <c r="U114" s="20">
        <f t="shared" ca="1" si="26"/>
        <v>0.42</v>
      </c>
      <c r="V114" s="20">
        <f t="shared" ca="1" si="26"/>
        <v>0.38</v>
      </c>
      <c r="W114" s="20">
        <f t="shared" ca="1" si="26"/>
        <v>0.61</v>
      </c>
      <c r="X114">
        <f t="shared" ca="1" si="22"/>
        <v>36.61356</v>
      </c>
      <c r="Y114">
        <f t="shared" ca="1" si="23"/>
        <v>47.600749999999998</v>
      </c>
      <c r="Z114" s="19">
        <f t="shared" ca="1" si="27"/>
        <v>0.94</v>
      </c>
      <c r="AA114" s="19">
        <f t="shared" ca="1" si="27"/>
        <v>0.41</v>
      </c>
      <c r="AB114" s="19">
        <f t="shared" ca="1" si="27"/>
        <v>0.1</v>
      </c>
      <c r="AC114">
        <f t="shared" ca="1" si="24"/>
        <v>36.839640000000003</v>
      </c>
      <c r="AD114">
        <f t="shared" ca="1" si="25"/>
        <v>47.635219999999997</v>
      </c>
      <c r="AE114">
        <f t="shared" ca="1" si="17"/>
        <v>7353</v>
      </c>
      <c r="AF114">
        <f t="shared" ca="1" si="18"/>
        <v>36.735300000000002</v>
      </c>
      <c r="AI114" s="10" t="s">
        <v>39</v>
      </c>
      <c r="AJ114" t="str">
        <f t="shared" si="19"/>
        <v>BMP-2  #113</v>
      </c>
      <c r="AL114" s="10">
        <f t="shared" ca="1" si="20"/>
        <v>623</v>
      </c>
      <c r="AM114" s="10">
        <f t="shared" ca="1" si="21"/>
        <v>47.762300000000003</v>
      </c>
    </row>
    <row r="115" spans="1:39" x14ac:dyDescent="0.25">
      <c r="A115" s="10">
        <v>114</v>
      </c>
      <c r="B115" s="10" t="s">
        <v>158</v>
      </c>
      <c r="C115" s="10" t="s">
        <v>15</v>
      </c>
      <c r="D115" s="10" t="s">
        <v>17</v>
      </c>
      <c r="E115" s="11">
        <v>36.5672</v>
      </c>
      <c r="F115" s="11">
        <v>47.656399999999998</v>
      </c>
      <c r="G115" s="12">
        <v>3.5000000000000001E-3</v>
      </c>
      <c r="H115" s="13">
        <v>90</v>
      </c>
      <c r="I115" s="10">
        <v>50</v>
      </c>
      <c r="J115" s="10">
        <v>50</v>
      </c>
      <c r="K115" s="14">
        <v>1.2</v>
      </c>
      <c r="L115" s="10">
        <v>25</v>
      </c>
      <c r="M115" s="15">
        <v>0.65</v>
      </c>
      <c r="N115" s="10">
        <v>20</v>
      </c>
      <c r="O115" s="10">
        <v>8</v>
      </c>
      <c r="U115" s="20">
        <f t="shared" ca="1" si="26"/>
        <v>0.92</v>
      </c>
      <c r="V115" s="20">
        <f t="shared" ca="1" si="26"/>
        <v>0.43</v>
      </c>
      <c r="W115" s="20">
        <f t="shared" ca="1" si="26"/>
        <v>0.78</v>
      </c>
      <c r="X115">
        <f t="shared" ca="1" si="22"/>
        <v>36.716720000000002</v>
      </c>
      <c r="Y115">
        <f t="shared" ca="1" si="23"/>
        <v>47.671149999999997</v>
      </c>
      <c r="Z115" s="19">
        <f t="shared" ca="1" si="27"/>
        <v>0.43</v>
      </c>
      <c r="AA115" s="19">
        <f t="shared" ca="1" si="27"/>
        <v>0.09</v>
      </c>
      <c r="AB115" s="19">
        <f t="shared" ca="1" si="27"/>
        <v>0.68</v>
      </c>
      <c r="AC115">
        <f t="shared" ca="1" si="24"/>
        <v>36.7746</v>
      </c>
      <c r="AD115">
        <f t="shared" ca="1" si="25"/>
        <v>47.6252</v>
      </c>
      <c r="AE115">
        <f t="shared" ca="1" si="17"/>
        <v>3168</v>
      </c>
      <c r="AF115">
        <f t="shared" ca="1" si="18"/>
        <v>36.316800000000001</v>
      </c>
      <c r="AI115" s="10" t="s">
        <v>40</v>
      </c>
      <c r="AJ115" t="str">
        <f t="shared" si="19"/>
        <v>BTR-80  #114</v>
      </c>
      <c r="AL115" s="10">
        <f t="shared" ca="1" si="20"/>
        <v>523</v>
      </c>
      <c r="AM115" s="10">
        <f t="shared" ca="1" si="21"/>
        <v>47.752300000000005</v>
      </c>
    </row>
    <row r="116" spans="1:39" x14ac:dyDescent="0.25">
      <c r="A116" s="10">
        <v>115</v>
      </c>
      <c r="B116" s="10" t="s">
        <v>159</v>
      </c>
      <c r="C116" s="10" t="s">
        <v>15</v>
      </c>
      <c r="D116" s="10" t="s">
        <v>17</v>
      </c>
      <c r="E116" s="11">
        <v>36.749000000000002</v>
      </c>
      <c r="F116" s="11">
        <v>47.597999999999999</v>
      </c>
      <c r="G116" s="12">
        <v>3.0000000000000001E-3</v>
      </c>
      <c r="H116" s="13">
        <v>90</v>
      </c>
      <c r="I116" s="10">
        <v>60</v>
      </c>
      <c r="J116" s="10">
        <v>60</v>
      </c>
      <c r="K116" s="14">
        <v>1.5</v>
      </c>
      <c r="L116" s="10">
        <v>40</v>
      </c>
      <c r="M116" s="15">
        <v>0.7</v>
      </c>
      <c r="N116" s="10">
        <v>30</v>
      </c>
      <c r="O116" s="10">
        <v>7</v>
      </c>
      <c r="U116" s="20">
        <f t="shared" ca="1" si="26"/>
        <v>0.72</v>
      </c>
      <c r="V116" s="20">
        <f t="shared" ca="1" si="26"/>
        <v>0.49</v>
      </c>
      <c r="W116" s="20">
        <f t="shared" ca="1" si="26"/>
        <v>0.56000000000000005</v>
      </c>
      <c r="X116">
        <f t="shared" ca="1" si="22"/>
        <v>36.709200000000003</v>
      </c>
      <c r="Y116">
        <f t="shared" ca="1" si="23"/>
        <v>47.638399999999997</v>
      </c>
      <c r="Z116" s="19">
        <f t="shared" ca="1" si="27"/>
        <v>0.41</v>
      </c>
      <c r="AA116" s="19">
        <f t="shared" ca="1" si="27"/>
        <v>0.36</v>
      </c>
      <c r="AB116" s="19">
        <f t="shared" ca="1" si="27"/>
        <v>0.52</v>
      </c>
      <c r="AC116">
        <f t="shared" ca="1" si="24"/>
        <v>36.808799999999998</v>
      </c>
      <c r="AD116">
        <f t="shared" ca="1" si="25"/>
        <v>47.645600000000002</v>
      </c>
      <c r="AE116">
        <f t="shared" ca="1" si="17"/>
        <v>9706</v>
      </c>
      <c r="AF116">
        <f t="shared" ca="1" si="18"/>
        <v>36.970599999999997</v>
      </c>
      <c r="AI116" s="10" t="s">
        <v>39</v>
      </c>
      <c r="AJ116" t="str">
        <f t="shared" si="19"/>
        <v>BMP-2  #115</v>
      </c>
      <c r="AL116" s="10">
        <f t="shared" ca="1" si="20"/>
        <v>505</v>
      </c>
      <c r="AM116" s="10">
        <f t="shared" ca="1" si="21"/>
        <v>47.750500000000002</v>
      </c>
    </row>
    <row r="117" spans="1:39" x14ac:dyDescent="0.25">
      <c r="A117" s="10">
        <v>116</v>
      </c>
      <c r="B117" s="10" t="s">
        <v>160</v>
      </c>
      <c r="C117" s="10" t="s">
        <v>15</v>
      </c>
      <c r="D117" s="10" t="s">
        <v>17</v>
      </c>
      <c r="E117" s="11">
        <v>36.554369999999999</v>
      </c>
      <c r="F117" s="11">
        <v>47.591189999999997</v>
      </c>
      <c r="G117" s="12">
        <v>3.0000000000000001E-3</v>
      </c>
      <c r="H117" s="13">
        <v>90</v>
      </c>
      <c r="I117" s="10">
        <v>60</v>
      </c>
      <c r="J117" s="10">
        <v>60</v>
      </c>
      <c r="K117" s="14">
        <v>1.5</v>
      </c>
      <c r="L117" s="10">
        <v>40</v>
      </c>
      <c r="M117" s="15">
        <v>0.7</v>
      </c>
      <c r="N117" s="10">
        <v>30</v>
      </c>
      <c r="O117" s="10">
        <v>7</v>
      </c>
      <c r="U117" s="20">
        <f t="shared" ca="1" si="26"/>
        <v>0.33</v>
      </c>
      <c r="V117" s="20">
        <f t="shared" ca="1" si="26"/>
        <v>0.31</v>
      </c>
      <c r="W117" s="20">
        <f t="shared" ca="1" si="26"/>
        <v>0.42</v>
      </c>
      <c r="X117">
        <f t="shared" ca="1" si="22"/>
        <v>36.591090000000001</v>
      </c>
      <c r="Y117">
        <f t="shared" ca="1" si="23"/>
        <v>47.620939999999997</v>
      </c>
      <c r="Z117" s="19">
        <f t="shared" ca="1" si="27"/>
        <v>0.48</v>
      </c>
      <c r="AA117" s="19">
        <f t="shared" ca="1" si="27"/>
        <v>0.43</v>
      </c>
      <c r="AB117" s="19">
        <f t="shared" ca="1" si="27"/>
        <v>0.87</v>
      </c>
      <c r="AC117">
        <f t="shared" ca="1" si="24"/>
        <v>36.791310000000003</v>
      </c>
      <c r="AD117">
        <f t="shared" ca="1" si="25"/>
        <v>47.66131</v>
      </c>
      <c r="AE117">
        <f t="shared" ca="1" si="17"/>
        <v>6795</v>
      </c>
      <c r="AF117">
        <f t="shared" ca="1" si="18"/>
        <v>36.679499999999997</v>
      </c>
      <c r="AI117" s="10" t="s">
        <v>39</v>
      </c>
      <c r="AJ117" t="str">
        <f t="shared" si="19"/>
        <v>BMP-2  #116</v>
      </c>
      <c r="AL117" s="10">
        <f t="shared" ca="1" si="20"/>
        <v>305</v>
      </c>
      <c r="AM117" s="10">
        <f t="shared" ca="1" si="21"/>
        <v>47.730500000000006</v>
      </c>
    </row>
    <row r="118" spans="1:39" x14ac:dyDescent="0.25">
      <c r="A118" s="10">
        <v>117</v>
      </c>
      <c r="B118" s="10" t="s">
        <v>161</v>
      </c>
      <c r="C118" s="10" t="s">
        <v>15</v>
      </c>
      <c r="D118" s="10" t="s">
        <v>17</v>
      </c>
      <c r="E118" s="11">
        <v>36.623919999999998</v>
      </c>
      <c r="F118" s="11">
        <v>47.55988</v>
      </c>
      <c r="G118" s="12">
        <v>3.5000000000000001E-3</v>
      </c>
      <c r="H118" s="13">
        <v>90</v>
      </c>
      <c r="I118" s="10">
        <v>50</v>
      </c>
      <c r="J118" s="10">
        <v>50</v>
      </c>
      <c r="K118" s="14">
        <v>1.2</v>
      </c>
      <c r="L118" s="10">
        <v>25</v>
      </c>
      <c r="M118" s="15">
        <v>0.65</v>
      </c>
      <c r="N118" s="10">
        <v>20</v>
      </c>
      <c r="O118" s="10">
        <v>8</v>
      </c>
      <c r="U118" s="20">
        <f t="shared" ca="1" si="26"/>
        <v>0.21</v>
      </c>
      <c r="V118" s="20">
        <f t="shared" ca="1" si="26"/>
        <v>0.56000000000000005</v>
      </c>
      <c r="W118" s="20">
        <f t="shared" ca="1" si="26"/>
        <v>0.09</v>
      </c>
      <c r="X118">
        <f t="shared" ca="1" si="22"/>
        <v>36.538640000000001</v>
      </c>
      <c r="Y118">
        <f t="shared" ca="1" si="23"/>
        <v>47.618429999999996</v>
      </c>
      <c r="Z118" s="19">
        <f t="shared" ca="1" si="27"/>
        <v>0.22</v>
      </c>
      <c r="AA118" s="19">
        <f t="shared" ca="1" si="27"/>
        <v>0.84</v>
      </c>
      <c r="AB118" s="19">
        <f t="shared" ca="1" si="27"/>
        <v>0.09</v>
      </c>
      <c r="AC118">
        <f t="shared" ca="1" si="24"/>
        <v>36.887479999999996</v>
      </c>
      <c r="AD118">
        <f t="shared" ca="1" si="25"/>
        <v>47.604120000000002</v>
      </c>
      <c r="AE118">
        <f t="shared" ca="1" si="17"/>
        <v>5640</v>
      </c>
      <c r="AF118">
        <f t="shared" ca="1" si="18"/>
        <v>36.564</v>
      </c>
      <c r="AI118" s="10" t="s">
        <v>40</v>
      </c>
      <c r="AJ118" t="str">
        <f t="shared" si="19"/>
        <v>BTR-80  #117</v>
      </c>
      <c r="AL118" s="10">
        <f t="shared" ca="1" si="20"/>
        <v>698</v>
      </c>
      <c r="AM118" s="10">
        <f t="shared" ca="1" si="21"/>
        <v>47.769800000000004</v>
      </c>
    </row>
    <row r="119" spans="1:39" x14ac:dyDescent="0.25">
      <c r="A119" s="10">
        <v>118</v>
      </c>
      <c r="B119" s="10" t="s">
        <v>162</v>
      </c>
      <c r="C119" s="10" t="s">
        <v>15</v>
      </c>
      <c r="D119" s="10" t="s">
        <v>18</v>
      </c>
      <c r="E119" s="11">
        <v>36.61992</v>
      </c>
      <c r="F119" s="11">
        <v>47.670560000000002</v>
      </c>
      <c r="G119" s="12">
        <v>1.5E-3</v>
      </c>
      <c r="H119" s="13">
        <v>90</v>
      </c>
      <c r="I119" s="10">
        <v>100</v>
      </c>
      <c r="J119" s="10">
        <v>100</v>
      </c>
      <c r="K119" s="14">
        <v>0.4</v>
      </c>
      <c r="L119" s="10">
        <v>15</v>
      </c>
      <c r="M119" s="15">
        <v>0.6</v>
      </c>
      <c r="N119" s="10">
        <v>5</v>
      </c>
      <c r="O119" s="10">
        <v>10</v>
      </c>
      <c r="U119" s="20">
        <f t="shared" ca="1" si="26"/>
        <v>0.85</v>
      </c>
      <c r="V119" s="20">
        <f t="shared" ca="1" si="26"/>
        <v>0.28999999999999998</v>
      </c>
      <c r="W119" s="20">
        <f t="shared" ca="1" si="26"/>
        <v>0.73</v>
      </c>
      <c r="X119">
        <f t="shared" ca="1" si="22"/>
        <v>36.693159999999999</v>
      </c>
      <c r="Y119">
        <f t="shared" ca="1" si="23"/>
        <v>47.670920000000002</v>
      </c>
      <c r="Z119" s="19">
        <f t="shared" ca="1" si="27"/>
        <v>0.98</v>
      </c>
      <c r="AA119" s="19">
        <f t="shared" ca="1" si="27"/>
        <v>0.14000000000000001</v>
      </c>
      <c r="AB119" s="19">
        <f t="shared" ca="1" si="27"/>
        <v>0.83</v>
      </c>
      <c r="AC119">
        <f t="shared" ca="1" si="24"/>
        <v>36.775069999999999</v>
      </c>
      <c r="AD119">
        <f t="shared" ca="1" si="25"/>
        <v>47.634239999999998</v>
      </c>
      <c r="AE119">
        <f t="shared" ca="1" si="17"/>
        <v>7400</v>
      </c>
      <c r="AF119">
        <f t="shared" ca="1" si="18"/>
        <v>36.74</v>
      </c>
      <c r="AI119" s="10" t="s">
        <v>41</v>
      </c>
      <c r="AJ119" t="str">
        <f t="shared" si="19"/>
        <v>Infantry Squad  #118</v>
      </c>
      <c r="AL119" s="10">
        <f t="shared" ca="1" si="20"/>
        <v>48</v>
      </c>
      <c r="AM119" s="10">
        <f t="shared" ca="1" si="21"/>
        <v>47.704800000000006</v>
      </c>
    </row>
    <row r="120" spans="1:39" x14ac:dyDescent="0.25">
      <c r="A120" s="10">
        <v>119</v>
      </c>
      <c r="B120" s="10" t="s">
        <v>163</v>
      </c>
      <c r="C120" s="10" t="s">
        <v>15</v>
      </c>
      <c r="D120" s="10" t="s">
        <v>18</v>
      </c>
      <c r="E120" s="11">
        <v>36.6</v>
      </c>
      <c r="F120" s="11">
        <v>47.7</v>
      </c>
      <c r="G120" s="12">
        <v>1.5E-3</v>
      </c>
      <c r="H120" s="13">
        <v>90</v>
      </c>
      <c r="I120" s="10">
        <v>100</v>
      </c>
      <c r="J120" s="10">
        <v>100</v>
      </c>
      <c r="K120" s="14">
        <v>0.4</v>
      </c>
      <c r="L120" s="10">
        <v>15</v>
      </c>
      <c r="M120" s="15">
        <v>0.6</v>
      </c>
      <c r="N120" s="10">
        <v>5</v>
      </c>
      <c r="O120" s="10">
        <v>10</v>
      </c>
      <c r="U120" s="20">
        <f t="shared" ca="1" si="26"/>
        <v>0.08</v>
      </c>
      <c r="V120" s="20">
        <f t="shared" ca="1" si="26"/>
        <v>0.8</v>
      </c>
      <c r="W120" s="20">
        <f t="shared" ca="1" si="26"/>
        <v>0.08</v>
      </c>
      <c r="X120">
        <f t="shared" ca="1" si="22"/>
        <v>36.52487</v>
      </c>
      <c r="Y120">
        <f t="shared" ca="1" si="23"/>
        <v>47.603400000000001</v>
      </c>
      <c r="Z120" s="19">
        <f t="shared" ca="1" si="27"/>
        <v>0.95</v>
      </c>
      <c r="AA120" s="19">
        <f t="shared" ca="1" si="27"/>
        <v>0.42</v>
      </c>
      <c r="AB120" s="19">
        <f t="shared" ca="1" si="27"/>
        <v>0.38</v>
      </c>
      <c r="AC120">
        <f t="shared" ca="1" si="24"/>
        <v>36.822580000000002</v>
      </c>
      <c r="AD120">
        <f t="shared" ca="1" si="25"/>
        <v>47.64472</v>
      </c>
      <c r="AE120">
        <f t="shared" ca="1" si="17"/>
        <v>5069</v>
      </c>
      <c r="AF120">
        <f t="shared" ca="1" si="18"/>
        <v>36.506900000000002</v>
      </c>
      <c r="AI120" s="10" t="s">
        <v>41</v>
      </c>
      <c r="AJ120" t="str">
        <f t="shared" si="19"/>
        <v>Infantry Squad  #119</v>
      </c>
      <c r="AL120" s="10">
        <f t="shared" ca="1" si="20"/>
        <v>163</v>
      </c>
      <c r="AM120" s="10">
        <f t="shared" ca="1" si="21"/>
        <v>47.716300000000004</v>
      </c>
    </row>
    <row r="121" spans="1:39" x14ac:dyDescent="0.25">
      <c r="A121" s="10">
        <v>120</v>
      </c>
      <c r="B121" s="10" t="s">
        <v>164</v>
      </c>
      <c r="C121" s="10" t="s">
        <v>15</v>
      </c>
      <c r="D121" s="10" t="s">
        <v>18</v>
      </c>
      <c r="E121" s="11">
        <v>36.739190000000001</v>
      </c>
      <c r="F121" s="11">
        <v>47.679049999999997</v>
      </c>
      <c r="G121" s="12">
        <v>1.5E-3</v>
      </c>
      <c r="H121" s="13">
        <v>90</v>
      </c>
      <c r="I121" s="10">
        <v>100</v>
      </c>
      <c r="J121" s="10">
        <v>100</v>
      </c>
      <c r="K121" s="14">
        <v>0.4</v>
      </c>
      <c r="L121" s="10">
        <v>15</v>
      </c>
      <c r="M121" s="15">
        <v>0.6</v>
      </c>
      <c r="N121" s="10">
        <v>5</v>
      </c>
      <c r="O121" s="10">
        <v>10</v>
      </c>
      <c r="U121" s="20">
        <f t="shared" ca="1" si="26"/>
        <v>0.12</v>
      </c>
      <c r="V121" s="20">
        <f t="shared" ca="1" si="26"/>
        <v>0.5</v>
      </c>
      <c r="W121" s="20">
        <f t="shared" ca="1" si="26"/>
        <v>0.74</v>
      </c>
      <c r="X121">
        <f t="shared" ca="1" si="22"/>
        <v>36.633940000000003</v>
      </c>
      <c r="Y121">
        <f t="shared" ca="1" si="23"/>
        <v>47.57696</v>
      </c>
      <c r="Z121" s="19">
        <f t="shared" ca="1" si="27"/>
        <v>0.55000000000000004</v>
      </c>
      <c r="AA121" s="19">
        <f t="shared" ca="1" si="27"/>
        <v>0.28999999999999998</v>
      </c>
      <c r="AB121" s="19">
        <f t="shared" ca="1" si="27"/>
        <v>0.86</v>
      </c>
      <c r="AC121">
        <f t="shared" ca="1" si="24"/>
        <v>36.784469999999999</v>
      </c>
      <c r="AD121">
        <f t="shared" ca="1" si="25"/>
        <v>47.650080000000003</v>
      </c>
      <c r="AE121">
        <f t="shared" ca="1" si="17"/>
        <v>9961</v>
      </c>
      <c r="AF121">
        <f t="shared" ca="1" si="18"/>
        <v>36.996099999999998</v>
      </c>
      <c r="AI121" s="10" t="s">
        <v>41</v>
      </c>
      <c r="AJ121" t="str">
        <f t="shared" si="19"/>
        <v>Infantry Squad  #120</v>
      </c>
      <c r="AL121" s="10">
        <f t="shared" ca="1" si="20"/>
        <v>258</v>
      </c>
      <c r="AM121" s="10">
        <f t="shared" ca="1" si="21"/>
        <v>47.7258</v>
      </c>
    </row>
    <row r="122" spans="1:39" x14ac:dyDescent="0.25">
      <c r="A122" s="10">
        <v>121</v>
      </c>
      <c r="B122" s="10" t="s">
        <v>165</v>
      </c>
      <c r="C122" s="10" t="s">
        <v>15</v>
      </c>
      <c r="D122" s="10" t="s">
        <v>16</v>
      </c>
      <c r="E122" s="11">
        <v>36.651479999999999</v>
      </c>
      <c r="F122" s="11">
        <v>47.525770000000001</v>
      </c>
      <c r="G122" s="12">
        <v>2E-3</v>
      </c>
      <c r="H122" s="13">
        <v>90</v>
      </c>
      <c r="I122" s="10">
        <v>100</v>
      </c>
      <c r="J122" s="10">
        <v>100</v>
      </c>
      <c r="K122" s="14">
        <v>2.5</v>
      </c>
      <c r="L122" s="10">
        <v>80</v>
      </c>
      <c r="M122" s="15">
        <v>0.75</v>
      </c>
      <c r="N122" s="10">
        <v>80</v>
      </c>
      <c r="O122" s="10">
        <v>3</v>
      </c>
      <c r="U122" s="20">
        <f t="shared" ca="1" si="26"/>
        <v>7.0000000000000007E-2</v>
      </c>
      <c r="V122" s="20">
        <f t="shared" ca="1" si="26"/>
        <v>0.71</v>
      </c>
      <c r="W122" s="20">
        <f t="shared" ca="1" si="26"/>
        <v>0.56999999999999995</v>
      </c>
      <c r="X122">
        <f t="shared" ca="1" si="22"/>
        <v>36.611800000000002</v>
      </c>
      <c r="Y122">
        <f t="shared" ca="1" si="23"/>
        <v>47.567709999999998</v>
      </c>
      <c r="Z122" s="19">
        <f t="shared" ca="1" si="27"/>
        <v>0.21</v>
      </c>
      <c r="AA122" s="19">
        <f t="shared" ca="1" si="27"/>
        <v>0.68</v>
      </c>
      <c r="AB122" s="19">
        <f t="shared" ca="1" si="27"/>
        <v>0.5</v>
      </c>
      <c r="AC122">
        <f t="shared" ca="1" si="24"/>
        <v>36.873690000000003</v>
      </c>
      <c r="AD122">
        <f t="shared" ca="1" si="25"/>
        <v>47.620620000000002</v>
      </c>
      <c r="AE122">
        <f t="shared" ca="1" si="17"/>
        <v>9198</v>
      </c>
      <c r="AF122">
        <f t="shared" ca="1" si="18"/>
        <v>36.919800000000002</v>
      </c>
      <c r="AI122" s="10" t="s">
        <v>37</v>
      </c>
      <c r="AJ122" t="str">
        <f t="shared" si="19"/>
        <v>T-72B3 Tank  #121</v>
      </c>
      <c r="AL122" s="10">
        <f t="shared" ca="1" si="20"/>
        <v>629</v>
      </c>
      <c r="AM122" s="10">
        <f t="shared" ca="1" si="21"/>
        <v>47.762900000000002</v>
      </c>
    </row>
    <row r="123" spans="1:39" x14ac:dyDescent="0.25">
      <c r="A123" s="10">
        <v>122</v>
      </c>
      <c r="B123" s="10" t="s">
        <v>166</v>
      </c>
      <c r="C123" s="10" t="s">
        <v>15</v>
      </c>
      <c r="D123" s="10" t="s">
        <v>16</v>
      </c>
      <c r="E123" s="11">
        <v>36.703319999999998</v>
      </c>
      <c r="F123" s="11">
        <v>47.516759999999998</v>
      </c>
      <c r="G123" s="12">
        <v>2E-3</v>
      </c>
      <c r="H123" s="13">
        <v>90</v>
      </c>
      <c r="I123" s="10">
        <v>100</v>
      </c>
      <c r="J123" s="10">
        <v>100</v>
      </c>
      <c r="K123" s="14">
        <v>2.5</v>
      </c>
      <c r="L123" s="10">
        <v>80</v>
      </c>
      <c r="M123" s="15">
        <v>0.75</v>
      </c>
      <c r="N123" s="10">
        <v>80</v>
      </c>
      <c r="O123" s="10">
        <v>3</v>
      </c>
      <c r="U123" s="20">
        <f t="shared" ca="1" si="26"/>
        <v>0.38</v>
      </c>
      <c r="V123" s="20">
        <f t="shared" ca="1" si="26"/>
        <v>0.24</v>
      </c>
      <c r="W123" s="20">
        <f t="shared" ca="1" si="26"/>
        <v>7.0000000000000007E-2</v>
      </c>
      <c r="X123">
        <f t="shared" ca="1" si="22"/>
        <v>36.557870000000001</v>
      </c>
      <c r="Y123">
        <f t="shared" ca="1" si="23"/>
        <v>47.647579999999998</v>
      </c>
      <c r="Z123" s="19">
        <f t="shared" ca="1" si="27"/>
        <v>0.41</v>
      </c>
      <c r="AA123" s="19">
        <f t="shared" ca="1" si="27"/>
        <v>0.18</v>
      </c>
      <c r="AB123" s="19">
        <f t="shared" ca="1" si="27"/>
        <v>0.16</v>
      </c>
      <c r="AC123">
        <f t="shared" ca="1" si="24"/>
        <v>36.806849999999997</v>
      </c>
      <c r="AD123">
        <f t="shared" ca="1" si="25"/>
        <v>47.624609999999997</v>
      </c>
      <c r="AE123">
        <f t="shared" ca="1" si="17"/>
        <v>4880</v>
      </c>
      <c r="AF123">
        <f t="shared" ca="1" si="18"/>
        <v>36.488</v>
      </c>
      <c r="AI123" s="10" t="s">
        <v>37</v>
      </c>
      <c r="AJ123" t="str">
        <f t="shared" si="19"/>
        <v>T-72B3 Tank  #122</v>
      </c>
      <c r="AL123" s="10">
        <f t="shared" ca="1" si="20"/>
        <v>563</v>
      </c>
      <c r="AM123" s="10">
        <f t="shared" ca="1" si="21"/>
        <v>47.756300000000003</v>
      </c>
    </row>
    <row r="124" spans="1:39" x14ac:dyDescent="0.25">
      <c r="A124" s="10">
        <v>123</v>
      </c>
      <c r="B124" s="10" t="s">
        <v>167</v>
      </c>
      <c r="C124" s="10" t="s">
        <v>15</v>
      </c>
      <c r="D124" s="10" t="s">
        <v>16</v>
      </c>
      <c r="E124" s="11">
        <v>36.732999999999997</v>
      </c>
      <c r="F124" s="11">
        <v>47.686</v>
      </c>
      <c r="G124" s="12">
        <v>2.5000000000000001E-3</v>
      </c>
      <c r="H124" s="13">
        <v>90</v>
      </c>
      <c r="I124" s="10">
        <v>110</v>
      </c>
      <c r="J124" s="10">
        <v>110</v>
      </c>
      <c r="K124" s="14">
        <v>2.8</v>
      </c>
      <c r="L124" s="10">
        <v>85</v>
      </c>
      <c r="M124" s="15">
        <v>0.78</v>
      </c>
      <c r="N124" s="10">
        <v>85</v>
      </c>
      <c r="O124" s="10">
        <v>3</v>
      </c>
      <c r="U124" s="20">
        <f t="shared" ca="1" si="26"/>
        <v>0.7</v>
      </c>
      <c r="V124" s="20">
        <f t="shared" ca="1" si="26"/>
        <v>0.01</v>
      </c>
      <c r="W124" s="20">
        <f t="shared" ca="1" si="26"/>
        <v>7.0000000000000007E-2</v>
      </c>
      <c r="X124">
        <f t="shared" ca="1" si="22"/>
        <v>36.610700000000001</v>
      </c>
      <c r="Y124">
        <f t="shared" ca="1" si="23"/>
        <v>47.681399999999996</v>
      </c>
      <c r="Z124" s="19">
        <f t="shared" ca="1" si="27"/>
        <v>0.09</v>
      </c>
      <c r="AA124" s="19">
        <f t="shared" ca="1" si="27"/>
        <v>0.37</v>
      </c>
      <c r="AB124" s="19">
        <f t="shared" ca="1" si="27"/>
        <v>0.25</v>
      </c>
      <c r="AC124">
        <f t="shared" ca="1" si="24"/>
        <v>36.841239999999999</v>
      </c>
      <c r="AD124">
        <f t="shared" ca="1" si="25"/>
        <v>47.607599999999998</v>
      </c>
      <c r="AE124">
        <f t="shared" ca="1" si="17"/>
        <v>7037</v>
      </c>
      <c r="AF124">
        <f t="shared" ca="1" si="18"/>
        <v>36.703699999999998</v>
      </c>
      <c r="AI124" s="10" t="s">
        <v>38</v>
      </c>
      <c r="AJ124" t="str">
        <f t="shared" si="19"/>
        <v>T-80BVM Tank  #123</v>
      </c>
      <c r="AL124" s="10">
        <f t="shared" ca="1" si="20"/>
        <v>889</v>
      </c>
      <c r="AM124" s="10">
        <f t="shared" ca="1" si="21"/>
        <v>47.788900000000005</v>
      </c>
    </row>
    <row r="125" spans="1:39" x14ac:dyDescent="0.25">
      <c r="A125" s="10">
        <v>124</v>
      </c>
      <c r="B125" s="10" t="s">
        <v>168</v>
      </c>
      <c r="C125" s="10" t="s">
        <v>15</v>
      </c>
      <c r="D125" s="10" t="s">
        <v>16</v>
      </c>
      <c r="E125" s="11">
        <v>36.650919999999999</v>
      </c>
      <c r="F125" s="11">
        <v>47.66328</v>
      </c>
      <c r="G125" s="12">
        <v>2E-3</v>
      </c>
      <c r="H125" s="13">
        <v>90</v>
      </c>
      <c r="I125" s="10">
        <v>100</v>
      </c>
      <c r="J125" s="10">
        <v>100</v>
      </c>
      <c r="K125" s="14">
        <v>2.5</v>
      </c>
      <c r="L125" s="10">
        <v>80</v>
      </c>
      <c r="M125" s="15">
        <v>0.75</v>
      </c>
      <c r="N125" s="10">
        <v>80</v>
      </c>
      <c r="O125" s="10">
        <v>3</v>
      </c>
      <c r="U125" s="20">
        <f t="shared" ca="1" si="26"/>
        <v>0.57999999999999996</v>
      </c>
      <c r="V125" s="20">
        <f t="shared" ca="1" si="26"/>
        <v>0.79</v>
      </c>
      <c r="W125" s="20">
        <f t="shared" ca="1" si="26"/>
        <v>0.87</v>
      </c>
      <c r="X125">
        <f t="shared" ca="1" si="22"/>
        <v>36.766210000000001</v>
      </c>
      <c r="Y125">
        <f t="shared" ca="1" si="23"/>
        <v>47.67689</v>
      </c>
      <c r="Z125" s="19">
        <f t="shared" ca="1" si="27"/>
        <v>0.11</v>
      </c>
      <c r="AA125" s="19">
        <f t="shared" ca="1" si="27"/>
        <v>0.92</v>
      </c>
      <c r="AB125" s="19">
        <f t="shared" ca="1" si="27"/>
        <v>0.99</v>
      </c>
      <c r="AC125">
        <f t="shared" ca="1" si="24"/>
        <v>36.89387</v>
      </c>
      <c r="AD125">
        <f t="shared" ca="1" si="25"/>
        <v>47.647480000000002</v>
      </c>
      <c r="AE125">
        <f t="shared" ca="1" si="17"/>
        <v>1597</v>
      </c>
      <c r="AF125">
        <f t="shared" ca="1" si="18"/>
        <v>36.159700000000001</v>
      </c>
      <c r="AI125" s="10" t="s">
        <v>37</v>
      </c>
      <c r="AJ125" t="str">
        <f t="shared" si="19"/>
        <v>T-72B3 Tank  #124</v>
      </c>
      <c r="AL125" s="10">
        <f t="shared" ca="1" si="20"/>
        <v>702</v>
      </c>
      <c r="AM125" s="10">
        <f t="shared" ca="1" si="21"/>
        <v>47.770200000000003</v>
      </c>
    </row>
    <row r="126" spans="1:39" x14ac:dyDescent="0.25">
      <c r="A126" s="10">
        <v>125</v>
      </c>
      <c r="B126" s="10" t="s">
        <v>169</v>
      </c>
      <c r="C126" s="10" t="s">
        <v>15</v>
      </c>
      <c r="D126" s="10" t="s">
        <v>16</v>
      </c>
      <c r="E126" s="11">
        <v>36.672550000000001</v>
      </c>
      <c r="F126" s="11">
        <v>47.67539</v>
      </c>
      <c r="G126" s="12">
        <v>2.5000000000000001E-3</v>
      </c>
      <c r="H126" s="13">
        <v>90</v>
      </c>
      <c r="I126" s="10">
        <v>110</v>
      </c>
      <c r="J126" s="10">
        <v>110</v>
      </c>
      <c r="K126" s="14">
        <v>2.8</v>
      </c>
      <c r="L126" s="10">
        <v>85</v>
      </c>
      <c r="M126" s="15">
        <v>0.78</v>
      </c>
      <c r="N126" s="10">
        <v>85</v>
      </c>
      <c r="O126" s="10">
        <v>3</v>
      </c>
      <c r="U126" s="20">
        <f t="shared" ca="1" si="26"/>
        <v>0.34</v>
      </c>
      <c r="V126" s="20">
        <f t="shared" ca="1" si="26"/>
        <v>0.82</v>
      </c>
      <c r="W126" s="20">
        <f t="shared" ca="1" si="26"/>
        <v>0.08</v>
      </c>
      <c r="X126">
        <f t="shared" ca="1" si="22"/>
        <v>36.52393</v>
      </c>
      <c r="Y126">
        <f t="shared" ca="1" si="23"/>
        <v>47.602200000000003</v>
      </c>
      <c r="Z126" s="19">
        <f t="shared" ca="1" si="27"/>
        <v>0.21</v>
      </c>
      <c r="AA126" s="19">
        <f t="shared" ca="1" si="27"/>
        <v>0</v>
      </c>
      <c r="AB126" s="19">
        <f t="shared" ca="1" si="27"/>
        <v>0.95</v>
      </c>
      <c r="AC126">
        <f t="shared" ca="1" si="24"/>
        <v>36.75</v>
      </c>
      <c r="AD126">
        <f t="shared" ca="1" si="25"/>
        <v>47.6</v>
      </c>
      <c r="AE126">
        <f t="shared" ca="1" si="17"/>
        <v>2635</v>
      </c>
      <c r="AF126">
        <f t="shared" ca="1" si="18"/>
        <v>36.263500000000001</v>
      </c>
      <c r="AI126" s="10" t="s">
        <v>38</v>
      </c>
      <c r="AJ126" t="str">
        <f t="shared" si="19"/>
        <v>T-80BVM Tank  #125</v>
      </c>
      <c r="AL126" s="10">
        <f t="shared" ca="1" si="20"/>
        <v>963</v>
      </c>
      <c r="AM126" s="10">
        <f t="shared" ca="1" si="21"/>
        <v>47.796300000000002</v>
      </c>
    </row>
    <row r="127" spans="1:39" x14ac:dyDescent="0.25">
      <c r="A127" s="10">
        <v>126</v>
      </c>
      <c r="B127" s="10" t="s">
        <v>170</v>
      </c>
      <c r="C127" s="10" t="s">
        <v>15</v>
      </c>
      <c r="D127" s="10" t="s">
        <v>17</v>
      </c>
      <c r="E127" s="11">
        <v>36.639600000000002</v>
      </c>
      <c r="F127" s="11">
        <v>47.531709999999997</v>
      </c>
      <c r="G127" s="12">
        <v>3.0000000000000001E-3</v>
      </c>
      <c r="H127" s="13">
        <v>90</v>
      </c>
      <c r="I127" s="10">
        <v>60</v>
      </c>
      <c r="J127" s="10">
        <v>60</v>
      </c>
      <c r="K127" s="14">
        <v>1.5</v>
      </c>
      <c r="L127" s="10">
        <v>40</v>
      </c>
      <c r="M127" s="15">
        <v>0.7</v>
      </c>
      <c r="N127" s="10">
        <v>30</v>
      </c>
      <c r="O127" s="10">
        <v>7</v>
      </c>
      <c r="U127" s="20">
        <f t="shared" ca="1" si="26"/>
        <v>0.67</v>
      </c>
      <c r="V127" s="20">
        <f t="shared" ca="1" si="26"/>
        <v>0.1</v>
      </c>
      <c r="W127" s="20">
        <f t="shared" ca="1" si="26"/>
        <v>0.48</v>
      </c>
      <c r="X127">
        <f t="shared" ca="1" si="22"/>
        <v>36.646799999999999</v>
      </c>
      <c r="Y127">
        <f t="shared" ca="1" si="23"/>
        <v>47.667110000000001</v>
      </c>
      <c r="Z127" s="19">
        <f t="shared" ca="1" si="27"/>
        <v>0.71</v>
      </c>
      <c r="AA127" s="19">
        <f t="shared" ca="1" si="27"/>
        <v>0.01</v>
      </c>
      <c r="AB127" s="19">
        <f t="shared" ca="1" si="27"/>
        <v>0.63</v>
      </c>
      <c r="AC127">
        <f t="shared" ca="1" si="24"/>
        <v>36.758699999999997</v>
      </c>
      <c r="AD127">
        <f t="shared" ca="1" si="25"/>
        <v>47.608150000000002</v>
      </c>
      <c r="AE127">
        <f t="shared" ca="1" si="17"/>
        <v>7367</v>
      </c>
      <c r="AF127">
        <f t="shared" ca="1" si="18"/>
        <v>36.736699999999999</v>
      </c>
      <c r="AI127" s="10" t="s">
        <v>39</v>
      </c>
      <c r="AJ127" t="str">
        <f t="shared" si="19"/>
        <v>BMP-2  #126</v>
      </c>
      <c r="AL127" s="10">
        <f t="shared" ca="1" si="20"/>
        <v>339</v>
      </c>
      <c r="AM127" s="10">
        <f t="shared" ca="1" si="21"/>
        <v>47.733900000000006</v>
      </c>
    </row>
    <row r="128" spans="1:39" x14ac:dyDescent="0.25">
      <c r="A128" s="10">
        <v>127</v>
      </c>
      <c r="B128" s="10" t="s">
        <v>171</v>
      </c>
      <c r="C128" s="10" t="s">
        <v>15</v>
      </c>
      <c r="D128" s="10" t="s">
        <v>17</v>
      </c>
      <c r="E128" s="11">
        <v>36.626989999999999</v>
      </c>
      <c r="F128" s="11">
        <v>47.648139999999998</v>
      </c>
      <c r="G128" s="12">
        <v>3.0000000000000001E-3</v>
      </c>
      <c r="H128" s="13">
        <v>90</v>
      </c>
      <c r="I128" s="10">
        <v>60</v>
      </c>
      <c r="J128" s="10">
        <v>60</v>
      </c>
      <c r="K128" s="14">
        <v>1.5</v>
      </c>
      <c r="L128" s="10">
        <v>40</v>
      </c>
      <c r="M128" s="15">
        <v>0.7</v>
      </c>
      <c r="N128" s="10">
        <v>30</v>
      </c>
      <c r="O128" s="10">
        <v>7</v>
      </c>
      <c r="U128" s="20">
        <f t="shared" ca="1" si="26"/>
        <v>0.17</v>
      </c>
      <c r="V128" s="20">
        <f t="shared" ca="1" si="26"/>
        <v>0.47</v>
      </c>
      <c r="W128" s="20">
        <f t="shared" ca="1" si="26"/>
        <v>0.27</v>
      </c>
      <c r="X128">
        <f t="shared" ca="1" si="22"/>
        <v>36.568460000000002</v>
      </c>
      <c r="Y128">
        <f t="shared" ca="1" si="23"/>
        <v>47.612929999999999</v>
      </c>
      <c r="Z128" s="19">
        <f t="shared" ca="1" si="27"/>
        <v>0.21</v>
      </c>
      <c r="AA128" s="19">
        <f t="shared" ca="1" si="27"/>
        <v>0.36</v>
      </c>
      <c r="AB128" s="19">
        <f t="shared" ca="1" si="27"/>
        <v>0.3</v>
      </c>
      <c r="AC128">
        <f t="shared" ca="1" si="24"/>
        <v>36.840000000000003</v>
      </c>
      <c r="AD128">
        <f t="shared" ca="1" si="25"/>
        <v>47.609000000000002</v>
      </c>
      <c r="AE128">
        <f t="shared" ca="1" si="17"/>
        <v>5126</v>
      </c>
      <c r="AF128">
        <f t="shared" ca="1" si="18"/>
        <v>36.512599999999999</v>
      </c>
      <c r="AI128" s="10" t="s">
        <v>39</v>
      </c>
      <c r="AJ128" t="str">
        <f t="shared" si="19"/>
        <v>BMP-2  #127</v>
      </c>
      <c r="AL128" s="10">
        <f t="shared" ca="1" si="20"/>
        <v>974</v>
      </c>
      <c r="AM128" s="10">
        <f t="shared" ca="1" si="21"/>
        <v>47.797400000000003</v>
      </c>
    </row>
    <row r="129" spans="1:39" x14ac:dyDescent="0.25">
      <c r="A129" s="10">
        <v>128</v>
      </c>
      <c r="B129" s="10" t="s">
        <v>172</v>
      </c>
      <c r="C129" s="10" t="s">
        <v>15</v>
      </c>
      <c r="D129" s="10" t="s">
        <v>17</v>
      </c>
      <c r="E129" s="11">
        <v>36.636670000000002</v>
      </c>
      <c r="F129" s="11">
        <v>47.683900000000001</v>
      </c>
      <c r="G129" s="12">
        <v>3.5000000000000001E-3</v>
      </c>
      <c r="H129" s="13">
        <v>90</v>
      </c>
      <c r="I129" s="10">
        <v>50</v>
      </c>
      <c r="J129" s="10">
        <v>50</v>
      </c>
      <c r="K129" s="14">
        <v>1.2</v>
      </c>
      <c r="L129" s="10">
        <v>25</v>
      </c>
      <c r="M129" s="15">
        <v>0.65</v>
      </c>
      <c r="N129" s="10">
        <v>20</v>
      </c>
      <c r="O129" s="10">
        <v>8</v>
      </c>
      <c r="U129" s="20">
        <f t="shared" ca="1" si="26"/>
        <v>0.69</v>
      </c>
      <c r="V129" s="20">
        <f t="shared" ca="1" si="26"/>
        <v>0.87</v>
      </c>
      <c r="W129" s="20">
        <f t="shared" ca="1" si="26"/>
        <v>0.48</v>
      </c>
      <c r="X129">
        <f t="shared" ca="1" si="22"/>
        <v>36.738050000000001</v>
      </c>
      <c r="Y129">
        <f t="shared" ca="1" si="23"/>
        <v>47.603000000000002</v>
      </c>
      <c r="Z129" s="19">
        <f t="shared" ca="1" si="27"/>
        <v>0.25</v>
      </c>
      <c r="AA129" s="19">
        <f t="shared" ca="1" si="27"/>
        <v>0.88</v>
      </c>
      <c r="AB129" s="19">
        <f t="shared" ca="1" si="27"/>
        <v>0.92</v>
      </c>
      <c r="AC129">
        <f t="shared" ca="1" si="24"/>
        <v>36.890709999999999</v>
      </c>
      <c r="AD129">
        <f t="shared" ca="1" si="25"/>
        <v>47.643149999999999</v>
      </c>
      <c r="AE129">
        <f t="shared" ca="1" si="17"/>
        <v>596</v>
      </c>
      <c r="AF129">
        <f t="shared" ca="1" si="18"/>
        <v>36.059600000000003</v>
      </c>
      <c r="AI129" s="10" t="s">
        <v>40</v>
      </c>
      <c r="AJ129" t="str">
        <f t="shared" si="19"/>
        <v>BTR-80  #128</v>
      </c>
      <c r="AL129" s="10">
        <f t="shared" ca="1" si="20"/>
        <v>750</v>
      </c>
      <c r="AM129" s="10">
        <f t="shared" ca="1" si="21"/>
        <v>47.775000000000006</v>
      </c>
    </row>
    <row r="130" spans="1:39" x14ac:dyDescent="0.25">
      <c r="A130" s="10">
        <v>129</v>
      </c>
      <c r="B130" s="10" t="s">
        <v>173</v>
      </c>
      <c r="C130" s="10" t="s">
        <v>15</v>
      </c>
      <c r="D130" s="10" t="s">
        <v>17</v>
      </c>
      <c r="E130" s="11">
        <v>36.745710000000003</v>
      </c>
      <c r="F130" s="11">
        <v>47.689430000000002</v>
      </c>
      <c r="G130" s="12">
        <v>3.0000000000000001E-3</v>
      </c>
      <c r="H130" s="13">
        <v>90</v>
      </c>
      <c r="I130" s="10">
        <v>60</v>
      </c>
      <c r="J130" s="10">
        <v>60</v>
      </c>
      <c r="K130" s="14">
        <v>1.5</v>
      </c>
      <c r="L130" s="10">
        <v>40</v>
      </c>
      <c r="M130" s="15">
        <v>0.7</v>
      </c>
      <c r="N130" s="10">
        <v>30</v>
      </c>
      <c r="O130" s="10">
        <v>7</v>
      </c>
      <c r="U130" s="20">
        <f t="shared" ca="1" si="26"/>
        <v>0.88</v>
      </c>
      <c r="V130" s="20">
        <f t="shared" ca="1" si="26"/>
        <v>0.41</v>
      </c>
      <c r="W130" s="20">
        <f t="shared" ca="1" si="26"/>
        <v>0.41</v>
      </c>
      <c r="X130">
        <f t="shared" ca="1" si="22"/>
        <v>36.690280000000001</v>
      </c>
      <c r="Y130">
        <f t="shared" ca="1" si="23"/>
        <v>47.62444</v>
      </c>
      <c r="Z130" s="19">
        <f t="shared" ca="1" si="27"/>
        <v>0.56999999999999995</v>
      </c>
      <c r="AA130" s="19">
        <f t="shared" ca="1" si="27"/>
        <v>0.5</v>
      </c>
      <c r="AB130" s="19">
        <f t="shared" ca="1" si="27"/>
        <v>0.03</v>
      </c>
      <c r="AC130">
        <f t="shared" ca="1" si="24"/>
        <v>36.853940000000001</v>
      </c>
      <c r="AD130">
        <f t="shared" ca="1" si="25"/>
        <v>47.636420000000001</v>
      </c>
      <c r="AE130">
        <f t="shared" ca="1" si="17"/>
        <v>488</v>
      </c>
      <c r="AF130">
        <f t="shared" ca="1" si="18"/>
        <v>36.0488</v>
      </c>
      <c r="AI130" s="10" t="s">
        <v>39</v>
      </c>
      <c r="AJ130" t="str">
        <f t="shared" si="19"/>
        <v>BMP-2  #129</v>
      </c>
      <c r="AL130" s="10">
        <f t="shared" ca="1" si="20"/>
        <v>82</v>
      </c>
      <c r="AM130" s="10">
        <f t="shared" ca="1" si="21"/>
        <v>47.708200000000005</v>
      </c>
    </row>
    <row r="131" spans="1:39" x14ac:dyDescent="0.25">
      <c r="A131" s="10">
        <v>130</v>
      </c>
      <c r="B131" s="10" t="s">
        <v>174</v>
      </c>
      <c r="C131" s="10" t="s">
        <v>15</v>
      </c>
      <c r="D131" s="10" t="s">
        <v>17</v>
      </c>
      <c r="E131" s="11">
        <v>36.644930000000002</v>
      </c>
      <c r="F131" s="11">
        <v>47.561349999999997</v>
      </c>
      <c r="G131" s="12">
        <v>3.0000000000000001E-3</v>
      </c>
      <c r="H131" s="13">
        <v>90</v>
      </c>
      <c r="I131" s="10">
        <v>60</v>
      </c>
      <c r="J131" s="10">
        <v>60</v>
      </c>
      <c r="K131" s="14">
        <v>1.5</v>
      </c>
      <c r="L131" s="10">
        <v>40</v>
      </c>
      <c r="M131" s="15">
        <v>0.7</v>
      </c>
      <c r="N131" s="10">
        <v>30</v>
      </c>
      <c r="O131" s="10">
        <v>7</v>
      </c>
      <c r="U131" s="20">
        <f t="shared" ca="1" si="26"/>
        <v>0.39</v>
      </c>
      <c r="V131" s="20">
        <f t="shared" ca="1" si="26"/>
        <v>0.69</v>
      </c>
      <c r="W131" s="20">
        <f t="shared" ca="1" si="26"/>
        <v>0.06</v>
      </c>
      <c r="X131">
        <f t="shared" ca="1" si="22"/>
        <v>36.526899999999998</v>
      </c>
      <c r="Y131">
        <f t="shared" ca="1" si="23"/>
        <v>47.61195</v>
      </c>
      <c r="Z131" s="19">
        <f t="shared" ca="1" si="27"/>
        <v>0.36</v>
      </c>
      <c r="AA131" s="19">
        <f t="shared" ca="1" si="27"/>
        <v>0.39</v>
      </c>
      <c r="AB131" s="19">
        <f t="shared" ca="1" si="27"/>
        <v>0.08</v>
      </c>
      <c r="AC131">
        <f t="shared" ca="1" si="24"/>
        <v>36.843670000000003</v>
      </c>
      <c r="AD131">
        <f t="shared" ca="1" si="25"/>
        <v>47.602499999999999</v>
      </c>
      <c r="AE131">
        <f t="shared" ref="AE131:AE194" ca="1" si="28">RANDBETWEEN(0,10000)</f>
        <v>7521</v>
      </c>
      <c r="AF131">
        <f t="shared" ref="AF131:AF194" ca="1" si="29">36+AE131/10000</f>
        <v>36.752099999999999</v>
      </c>
      <c r="AI131" s="10" t="s">
        <v>39</v>
      </c>
      <c r="AJ131" t="str">
        <f t="shared" ref="AJ131:AJ194" si="30">CONCATENATE(AI131," #",A131)</f>
        <v>BMP-2  #130</v>
      </c>
      <c r="AL131" s="10">
        <f t="shared" ref="AL131:AL194" ca="1" si="31">RANDBETWEEN(0,1000)</f>
        <v>500</v>
      </c>
      <c r="AM131" s="10">
        <f t="shared" ref="AM131:AM194" ca="1" si="32">47.7+AL131/10000</f>
        <v>47.75</v>
      </c>
    </row>
    <row r="132" spans="1:39" x14ac:dyDescent="0.25">
      <c r="A132" s="10">
        <v>131</v>
      </c>
      <c r="B132" s="10" t="s">
        <v>175</v>
      </c>
      <c r="C132" s="10" t="s">
        <v>15</v>
      </c>
      <c r="D132" s="10" t="s">
        <v>17</v>
      </c>
      <c r="E132" s="11">
        <v>36.629100000000001</v>
      </c>
      <c r="F132" s="11">
        <v>47.652380000000001</v>
      </c>
      <c r="G132" s="12">
        <v>3.5000000000000001E-3</v>
      </c>
      <c r="H132" s="13">
        <v>90</v>
      </c>
      <c r="I132" s="10">
        <v>50</v>
      </c>
      <c r="J132" s="10">
        <v>50</v>
      </c>
      <c r="K132" s="14">
        <v>1.2</v>
      </c>
      <c r="L132" s="10">
        <v>25</v>
      </c>
      <c r="M132" s="15">
        <v>0.65</v>
      </c>
      <c r="N132" s="10">
        <v>20</v>
      </c>
      <c r="O132" s="10">
        <v>8</v>
      </c>
      <c r="U132" s="20">
        <f t="shared" ca="1" si="26"/>
        <v>0.56000000000000005</v>
      </c>
      <c r="V132" s="20">
        <f t="shared" ca="1" si="26"/>
        <v>0.61</v>
      </c>
      <c r="W132" s="20">
        <f t="shared" ca="1" si="26"/>
        <v>0.08</v>
      </c>
      <c r="X132">
        <f t="shared" ca="1" si="22"/>
        <v>36.684350000000002</v>
      </c>
      <c r="Y132">
        <f t="shared" ca="1" si="23"/>
        <v>47.556289999999997</v>
      </c>
      <c r="Z132" s="19">
        <f t="shared" ca="1" si="27"/>
        <v>0.53</v>
      </c>
      <c r="AA132" s="19">
        <f t="shared" ca="1" si="27"/>
        <v>0.89</v>
      </c>
      <c r="AB132" s="19">
        <f t="shared" ca="1" si="27"/>
        <v>0.92</v>
      </c>
      <c r="AC132">
        <f t="shared" ca="1" si="24"/>
        <v>36.804720000000003</v>
      </c>
      <c r="AD132">
        <f t="shared" ca="1" si="25"/>
        <v>47.690570000000001</v>
      </c>
      <c r="AE132">
        <f t="shared" ca="1" si="28"/>
        <v>1376</v>
      </c>
      <c r="AF132">
        <f t="shared" ca="1" si="29"/>
        <v>36.137599999999999</v>
      </c>
      <c r="AI132" s="10" t="s">
        <v>40</v>
      </c>
      <c r="AJ132" t="str">
        <f t="shared" si="30"/>
        <v>BTR-80  #131</v>
      </c>
      <c r="AL132" s="10">
        <f t="shared" ca="1" si="31"/>
        <v>118</v>
      </c>
      <c r="AM132" s="10">
        <f t="shared" ca="1" si="32"/>
        <v>47.711800000000004</v>
      </c>
    </row>
    <row r="133" spans="1:39" x14ac:dyDescent="0.25">
      <c r="A133" s="10">
        <v>132</v>
      </c>
      <c r="B133" s="10" t="s">
        <v>176</v>
      </c>
      <c r="C133" s="10" t="s">
        <v>15</v>
      </c>
      <c r="D133" s="10" t="s">
        <v>17</v>
      </c>
      <c r="E133" s="11">
        <v>36.72148</v>
      </c>
      <c r="F133" s="11">
        <v>47.572020000000002</v>
      </c>
      <c r="G133" s="12">
        <v>3.0000000000000001E-3</v>
      </c>
      <c r="H133" s="13">
        <v>90</v>
      </c>
      <c r="I133" s="10">
        <v>60</v>
      </c>
      <c r="J133" s="10">
        <v>60</v>
      </c>
      <c r="K133" s="14">
        <v>1.5</v>
      </c>
      <c r="L133" s="10">
        <v>40</v>
      </c>
      <c r="M133" s="15">
        <v>0.7</v>
      </c>
      <c r="N133" s="10">
        <v>30</v>
      </c>
      <c r="O133" s="10">
        <v>7</v>
      </c>
      <c r="U133" s="20">
        <f t="shared" ca="1" si="26"/>
        <v>0.52</v>
      </c>
      <c r="V133" s="20">
        <f t="shared" ca="1" si="26"/>
        <v>0.31</v>
      </c>
      <c r="W133" s="20">
        <f t="shared" ca="1" si="26"/>
        <v>0.01</v>
      </c>
      <c r="X133">
        <f t="shared" ca="1" si="22"/>
        <v>36.656230000000001</v>
      </c>
      <c r="Y133">
        <f t="shared" ca="1" si="23"/>
        <v>47.589759999999998</v>
      </c>
      <c r="Z133" s="19">
        <f t="shared" ca="1" si="27"/>
        <v>0.75</v>
      </c>
      <c r="AA133" s="19">
        <f t="shared" ca="1" si="27"/>
        <v>0.81</v>
      </c>
      <c r="AB133" s="19">
        <f t="shared" ca="1" si="27"/>
        <v>0.97</v>
      </c>
      <c r="AC133">
        <f t="shared" ca="1" si="24"/>
        <v>36.797699999999999</v>
      </c>
      <c r="AD133">
        <f t="shared" ca="1" si="25"/>
        <v>47.688650000000003</v>
      </c>
      <c r="AE133">
        <f t="shared" ca="1" si="28"/>
        <v>4769</v>
      </c>
      <c r="AF133">
        <f t="shared" ca="1" si="29"/>
        <v>36.476900000000001</v>
      </c>
      <c r="AI133" s="10" t="s">
        <v>39</v>
      </c>
      <c r="AJ133" t="str">
        <f t="shared" si="30"/>
        <v>BMP-2  #132</v>
      </c>
      <c r="AL133" s="10">
        <f t="shared" ca="1" si="31"/>
        <v>0</v>
      </c>
      <c r="AM133" s="10">
        <f t="shared" ca="1" si="32"/>
        <v>47.7</v>
      </c>
    </row>
    <row r="134" spans="1:39" x14ac:dyDescent="0.25">
      <c r="A134" s="10">
        <v>133</v>
      </c>
      <c r="B134" s="10" t="s">
        <v>177</v>
      </c>
      <c r="C134" s="10" t="s">
        <v>15</v>
      </c>
      <c r="D134" s="10" t="s">
        <v>17</v>
      </c>
      <c r="E134" s="11">
        <v>36.70684</v>
      </c>
      <c r="F134" s="11">
        <v>47.532110000000003</v>
      </c>
      <c r="G134" s="12">
        <v>3.0000000000000001E-3</v>
      </c>
      <c r="H134" s="13">
        <v>90</v>
      </c>
      <c r="I134" s="10">
        <v>60</v>
      </c>
      <c r="J134" s="10">
        <v>60</v>
      </c>
      <c r="K134" s="14">
        <v>1.5</v>
      </c>
      <c r="L134" s="10">
        <v>40</v>
      </c>
      <c r="M134" s="15">
        <v>0.7</v>
      </c>
      <c r="N134" s="10">
        <v>30</v>
      </c>
      <c r="O134" s="10">
        <v>7</v>
      </c>
      <c r="U134" s="20">
        <f t="shared" ca="1" si="26"/>
        <v>0.97</v>
      </c>
      <c r="V134" s="20">
        <f t="shared" ca="1" si="26"/>
        <v>0.5</v>
      </c>
      <c r="W134" s="20">
        <f t="shared" ca="1" si="26"/>
        <v>0.24</v>
      </c>
      <c r="X134">
        <f t="shared" ca="1" si="22"/>
        <v>36.68768</v>
      </c>
      <c r="Y134">
        <f t="shared" ca="1" si="23"/>
        <v>47.59252</v>
      </c>
      <c r="Z134" s="19">
        <f t="shared" ca="1" si="27"/>
        <v>0.86</v>
      </c>
      <c r="AA134" s="19">
        <f t="shared" ca="1" si="27"/>
        <v>0.64</v>
      </c>
      <c r="AB134" s="19">
        <f t="shared" ca="1" si="27"/>
        <v>0.13</v>
      </c>
      <c r="AC134">
        <f t="shared" ca="1" si="24"/>
        <v>36.8596</v>
      </c>
      <c r="AD134">
        <f t="shared" ca="1" si="25"/>
        <v>47.645200000000003</v>
      </c>
      <c r="AE134">
        <f t="shared" ca="1" si="28"/>
        <v>9118</v>
      </c>
      <c r="AF134">
        <f t="shared" ca="1" si="29"/>
        <v>36.911799999999999</v>
      </c>
      <c r="AI134" s="10" t="s">
        <v>39</v>
      </c>
      <c r="AJ134" t="str">
        <f t="shared" si="30"/>
        <v>BMP-2  #133</v>
      </c>
      <c r="AL134" s="10">
        <f t="shared" ca="1" si="31"/>
        <v>236</v>
      </c>
      <c r="AM134" s="10">
        <f t="shared" ca="1" si="32"/>
        <v>47.723600000000005</v>
      </c>
    </row>
    <row r="135" spans="1:39" x14ac:dyDescent="0.25">
      <c r="A135" s="10">
        <v>134</v>
      </c>
      <c r="B135" s="10" t="s">
        <v>178</v>
      </c>
      <c r="C135" s="10" t="s">
        <v>15</v>
      </c>
      <c r="D135" s="10" t="s">
        <v>17</v>
      </c>
      <c r="E135" s="11">
        <v>36.711579999999998</v>
      </c>
      <c r="F135" s="11">
        <v>47.676580000000001</v>
      </c>
      <c r="G135" s="12">
        <v>3.5000000000000001E-3</v>
      </c>
      <c r="H135" s="13">
        <v>90</v>
      </c>
      <c r="I135" s="10">
        <v>50</v>
      </c>
      <c r="J135" s="10">
        <v>50</v>
      </c>
      <c r="K135" s="14">
        <v>1.2</v>
      </c>
      <c r="L135" s="10">
        <v>25</v>
      </c>
      <c r="M135" s="15">
        <v>0.65</v>
      </c>
      <c r="N135" s="10">
        <v>20</v>
      </c>
      <c r="O135" s="10">
        <v>8</v>
      </c>
      <c r="U135" s="20">
        <f t="shared" ca="1" si="26"/>
        <v>0.17</v>
      </c>
      <c r="V135" s="20">
        <f t="shared" ca="1" si="26"/>
        <v>0.73</v>
      </c>
      <c r="W135" s="20">
        <f t="shared" ca="1" si="26"/>
        <v>0.85</v>
      </c>
      <c r="X135">
        <f t="shared" ca="1" si="22"/>
        <v>36.65981</v>
      </c>
      <c r="Y135">
        <f t="shared" ca="1" si="23"/>
        <v>47.541939999999997</v>
      </c>
      <c r="Z135" s="19">
        <f t="shared" ca="1" si="27"/>
        <v>0.18</v>
      </c>
      <c r="AA135" s="19">
        <f t="shared" ca="1" si="27"/>
        <v>0.98</v>
      </c>
      <c r="AB135" s="19">
        <f t="shared" ca="1" si="27"/>
        <v>0.28999999999999998</v>
      </c>
      <c r="AC135">
        <f t="shared" ca="1" si="24"/>
        <v>36.898490000000002</v>
      </c>
      <c r="AD135">
        <f t="shared" ca="1" si="25"/>
        <v>47.614350000000002</v>
      </c>
      <c r="AE135">
        <f t="shared" ca="1" si="28"/>
        <v>7739</v>
      </c>
      <c r="AF135">
        <f t="shared" ca="1" si="29"/>
        <v>36.773899999999998</v>
      </c>
      <c r="AI135" s="10" t="s">
        <v>40</v>
      </c>
      <c r="AJ135" t="str">
        <f t="shared" si="30"/>
        <v>BTR-80  #134</v>
      </c>
      <c r="AL135" s="10">
        <f t="shared" ca="1" si="31"/>
        <v>37</v>
      </c>
      <c r="AM135" s="10">
        <f t="shared" ca="1" si="32"/>
        <v>47.703700000000005</v>
      </c>
    </row>
    <row r="136" spans="1:39" x14ac:dyDescent="0.25">
      <c r="A136" s="10">
        <v>135</v>
      </c>
      <c r="B136" s="10" t="s">
        <v>179</v>
      </c>
      <c r="C136" s="10" t="s">
        <v>15</v>
      </c>
      <c r="D136" s="10" t="s">
        <v>17</v>
      </c>
      <c r="E136" s="11">
        <v>36.706200000000003</v>
      </c>
      <c r="F136" s="11">
        <v>47.672400000000003</v>
      </c>
      <c r="G136" s="12">
        <v>3.0000000000000001E-3</v>
      </c>
      <c r="H136" s="13">
        <v>90</v>
      </c>
      <c r="I136" s="10">
        <v>60</v>
      </c>
      <c r="J136" s="10">
        <v>60</v>
      </c>
      <c r="K136" s="14">
        <v>1.5</v>
      </c>
      <c r="L136" s="10">
        <v>40</v>
      </c>
      <c r="M136" s="15">
        <v>0.7</v>
      </c>
      <c r="N136" s="10">
        <v>30</v>
      </c>
      <c r="O136" s="10">
        <v>7</v>
      </c>
      <c r="U136" s="20">
        <f t="shared" ca="1" si="26"/>
        <v>0.47</v>
      </c>
      <c r="V136" s="20">
        <f t="shared" ca="1" si="26"/>
        <v>0.04</v>
      </c>
      <c r="W136" s="20">
        <f t="shared" ca="1" si="26"/>
        <v>0.14000000000000001</v>
      </c>
      <c r="X136">
        <f t="shared" ca="1" si="22"/>
        <v>36.622799999999998</v>
      </c>
      <c r="Y136">
        <f t="shared" ca="1" si="23"/>
        <v>47.665599999999998</v>
      </c>
      <c r="Z136" s="19">
        <f t="shared" ca="1" si="27"/>
        <v>0.34</v>
      </c>
      <c r="AA136" s="19">
        <f t="shared" ca="1" si="27"/>
        <v>0.92</v>
      </c>
      <c r="AB136" s="19">
        <f t="shared" ca="1" si="27"/>
        <v>0.85</v>
      </c>
      <c r="AC136">
        <f t="shared" ca="1" si="24"/>
        <v>36.89387</v>
      </c>
      <c r="AD136">
        <f t="shared" ca="1" si="25"/>
        <v>47.64076</v>
      </c>
      <c r="AE136">
        <f t="shared" ca="1" si="28"/>
        <v>5810</v>
      </c>
      <c r="AF136">
        <f t="shared" ca="1" si="29"/>
        <v>36.581000000000003</v>
      </c>
      <c r="AI136" s="10" t="s">
        <v>39</v>
      </c>
      <c r="AJ136" t="str">
        <f t="shared" si="30"/>
        <v>BMP-2  #135</v>
      </c>
      <c r="AL136" s="10">
        <f t="shared" ca="1" si="31"/>
        <v>210</v>
      </c>
      <c r="AM136" s="10">
        <f t="shared" ca="1" si="32"/>
        <v>47.721000000000004</v>
      </c>
    </row>
    <row r="137" spans="1:39" x14ac:dyDescent="0.25">
      <c r="A137" s="10">
        <v>136</v>
      </c>
      <c r="B137" s="10" t="s">
        <v>180</v>
      </c>
      <c r="C137" s="10" t="s">
        <v>15</v>
      </c>
      <c r="D137" s="10" t="s">
        <v>17</v>
      </c>
      <c r="E137" s="11">
        <v>36.62285</v>
      </c>
      <c r="F137" s="11">
        <v>47.574339999999999</v>
      </c>
      <c r="G137" s="12">
        <v>3.0000000000000001E-3</v>
      </c>
      <c r="H137" s="13">
        <v>90</v>
      </c>
      <c r="I137" s="10">
        <v>60</v>
      </c>
      <c r="J137" s="10">
        <v>60</v>
      </c>
      <c r="K137" s="14">
        <v>1.5</v>
      </c>
      <c r="L137" s="10">
        <v>40</v>
      </c>
      <c r="M137" s="15">
        <v>0.7</v>
      </c>
      <c r="N137" s="10">
        <v>30</v>
      </c>
      <c r="O137" s="10">
        <v>7</v>
      </c>
      <c r="U137" s="20">
        <f t="shared" ca="1" si="26"/>
        <v>0.27</v>
      </c>
      <c r="V137" s="20">
        <f t="shared" ca="1" si="26"/>
        <v>0.48</v>
      </c>
      <c r="W137" s="20">
        <f t="shared" ca="1" si="26"/>
        <v>0.38</v>
      </c>
      <c r="X137">
        <f t="shared" ca="1" si="22"/>
        <v>36.583370000000002</v>
      </c>
      <c r="Y137">
        <f t="shared" ca="1" si="23"/>
        <v>47.604390000000002</v>
      </c>
      <c r="Z137" s="19">
        <f t="shared" ca="1" si="27"/>
        <v>0.54</v>
      </c>
      <c r="AA137" s="19">
        <f t="shared" ca="1" si="27"/>
        <v>0.88</v>
      </c>
      <c r="AB137" s="19">
        <f t="shared" ca="1" si="27"/>
        <v>0.11</v>
      </c>
      <c r="AC137">
        <f t="shared" ca="1" si="24"/>
        <v>36.880389999999998</v>
      </c>
      <c r="AD137">
        <f t="shared" ca="1" si="25"/>
        <v>47.652059999999999</v>
      </c>
      <c r="AE137">
        <f t="shared" ca="1" si="28"/>
        <v>1836</v>
      </c>
      <c r="AF137">
        <f t="shared" ca="1" si="29"/>
        <v>36.183599999999998</v>
      </c>
      <c r="AI137" s="10" t="s">
        <v>39</v>
      </c>
      <c r="AJ137" t="str">
        <f t="shared" si="30"/>
        <v>BMP-2  #136</v>
      </c>
      <c r="AL137" s="10">
        <f t="shared" ca="1" si="31"/>
        <v>761</v>
      </c>
      <c r="AM137" s="10">
        <f t="shared" ca="1" si="32"/>
        <v>47.7761</v>
      </c>
    </row>
    <row r="138" spans="1:39" x14ac:dyDescent="0.25">
      <c r="A138" s="10">
        <v>137</v>
      </c>
      <c r="B138" s="10" t="s">
        <v>181</v>
      </c>
      <c r="C138" s="10" t="s">
        <v>15</v>
      </c>
      <c r="D138" s="10" t="s">
        <v>17</v>
      </c>
      <c r="E138" s="11">
        <v>36.706650000000003</v>
      </c>
      <c r="F138" s="11">
        <v>47.542349999999999</v>
      </c>
      <c r="G138" s="12">
        <v>3.5000000000000001E-3</v>
      </c>
      <c r="H138" s="13">
        <v>90</v>
      </c>
      <c r="I138" s="10">
        <v>50</v>
      </c>
      <c r="J138" s="10">
        <v>50</v>
      </c>
      <c r="K138" s="14">
        <v>1.2</v>
      </c>
      <c r="L138" s="10">
        <v>25</v>
      </c>
      <c r="M138" s="15">
        <v>0.65</v>
      </c>
      <c r="N138" s="10">
        <v>20</v>
      </c>
      <c r="O138" s="10">
        <v>8</v>
      </c>
      <c r="U138" s="20">
        <f t="shared" ca="1" si="26"/>
        <v>1</v>
      </c>
      <c r="V138" s="20">
        <f t="shared" ca="1" si="26"/>
        <v>0.4</v>
      </c>
      <c r="W138" s="20">
        <f t="shared" ca="1" si="26"/>
        <v>0.36</v>
      </c>
      <c r="X138">
        <f t="shared" ca="1" si="22"/>
        <v>36.686010000000003</v>
      </c>
      <c r="Y138">
        <f t="shared" ca="1" si="23"/>
        <v>47.619050000000001</v>
      </c>
      <c r="Z138" s="19">
        <f t="shared" ca="1" si="27"/>
        <v>0.81</v>
      </c>
      <c r="AA138" s="19">
        <f t="shared" ca="1" si="27"/>
        <v>0.35</v>
      </c>
      <c r="AB138" s="19">
        <f t="shared" ca="1" si="27"/>
        <v>0.24</v>
      </c>
      <c r="AC138">
        <f t="shared" ca="1" si="24"/>
        <v>36.824539999999999</v>
      </c>
      <c r="AD138">
        <f t="shared" ca="1" si="25"/>
        <v>47.636679999999998</v>
      </c>
      <c r="AE138">
        <f t="shared" ca="1" si="28"/>
        <v>1787</v>
      </c>
      <c r="AF138">
        <f t="shared" ca="1" si="29"/>
        <v>36.178699999999999</v>
      </c>
      <c r="AI138" s="10" t="s">
        <v>40</v>
      </c>
      <c r="AJ138" t="str">
        <f t="shared" si="30"/>
        <v>BTR-80  #137</v>
      </c>
      <c r="AL138" s="10">
        <f t="shared" ca="1" si="31"/>
        <v>237</v>
      </c>
      <c r="AM138" s="10">
        <f t="shared" ca="1" si="32"/>
        <v>47.723700000000001</v>
      </c>
    </row>
    <row r="139" spans="1:39" x14ac:dyDescent="0.25">
      <c r="A139" s="10">
        <v>138</v>
      </c>
      <c r="B139" s="10" t="s">
        <v>182</v>
      </c>
      <c r="C139" s="10" t="s">
        <v>15</v>
      </c>
      <c r="D139" s="10" t="s">
        <v>18</v>
      </c>
      <c r="E139" s="11">
        <v>36.575499999999998</v>
      </c>
      <c r="F139" s="11">
        <v>47.628729999999997</v>
      </c>
      <c r="G139" s="12">
        <v>1.5E-3</v>
      </c>
      <c r="H139" s="13">
        <v>90</v>
      </c>
      <c r="I139" s="10">
        <v>100</v>
      </c>
      <c r="J139" s="10">
        <v>100</v>
      </c>
      <c r="K139" s="14">
        <v>0.4</v>
      </c>
      <c r="L139" s="10">
        <v>15</v>
      </c>
      <c r="M139" s="15">
        <v>0.6</v>
      </c>
      <c r="N139" s="10">
        <v>5</v>
      </c>
      <c r="O139" s="10">
        <v>10</v>
      </c>
      <c r="U139" s="20">
        <f t="shared" ca="1" si="26"/>
        <v>0.23</v>
      </c>
      <c r="V139" s="20">
        <f t="shared" ca="1" si="26"/>
        <v>0.5</v>
      </c>
      <c r="W139" s="20">
        <f t="shared" ca="1" si="26"/>
        <v>0.65</v>
      </c>
      <c r="X139">
        <f t="shared" ca="1" si="22"/>
        <v>36.621209999999998</v>
      </c>
      <c r="Y139">
        <f t="shared" ca="1" si="23"/>
        <v>47.583329999999997</v>
      </c>
      <c r="Z139" s="19">
        <f t="shared" ca="1" si="27"/>
        <v>0.63</v>
      </c>
      <c r="AA139" s="19">
        <f t="shared" ca="1" si="27"/>
        <v>0.1</v>
      </c>
      <c r="AB139" s="19">
        <f t="shared" ca="1" si="27"/>
        <v>0.26</v>
      </c>
      <c r="AC139">
        <f t="shared" ca="1" si="24"/>
        <v>36.789209999999997</v>
      </c>
      <c r="AD139">
        <f t="shared" ca="1" si="25"/>
        <v>47.61992</v>
      </c>
      <c r="AE139">
        <f t="shared" ca="1" si="28"/>
        <v>9205</v>
      </c>
      <c r="AF139">
        <f t="shared" ca="1" si="29"/>
        <v>36.920499999999997</v>
      </c>
      <c r="AI139" s="10" t="s">
        <v>41</v>
      </c>
      <c r="AJ139" t="str">
        <f t="shared" si="30"/>
        <v>Infantry Squad  #138</v>
      </c>
      <c r="AL139" s="10">
        <f t="shared" ca="1" si="31"/>
        <v>32</v>
      </c>
      <c r="AM139" s="10">
        <f t="shared" ca="1" si="32"/>
        <v>47.703200000000002</v>
      </c>
    </row>
    <row r="140" spans="1:39" x14ac:dyDescent="0.25">
      <c r="A140" s="10">
        <v>139</v>
      </c>
      <c r="B140" s="10" t="s">
        <v>183</v>
      </c>
      <c r="C140" s="10" t="s">
        <v>15</v>
      </c>
      <c r="D140" s="10" t="s">
        <v>18</v>
      </c>
      <c r="E140" s="11">
        <v>36.576000000000001</v>
      </c>
      <c r="F140" s="11">
        <v>47.561999999999998</v>
      </c>
      <c r="G140" s="12">
        <v>1.5E-3</v>
      </c>
      <c r="H140" s="13">
        <v>90</v>
      </c>
      <c r="I140" s="10">
        <v>100</v>
      </c>
      <c r="J140" s="10">
        <v>100</v>
      </c>
      <c r="K140" s="14">
        <v>0.4</v>
      </c>
      <c r="L140" s="10">
        <v>15</v>
      </c>
      <c r="M140" s="15">
        <v>0.6</v>
      </c>
      <c r="N140" s="10">
        <v>5</v>
      </c>
      <c r="O140" s="10">
        <v>10</v>
      </c>
      <c r="U140" s="20">
        <f t="shared" ca="1" si="26"/>
        <v>0.46</v>
      </c>
      <c r="V140" s="20">
        <f t="shared" ca="1" si="26"/>
        <v>0.57999999999999996</v>
      </c>
      <c r="W140" s="20">
        <f t="shared" ca="1" si="26"/>
        <v>0.17</v>
      </c>
      <c r="X140">
        <f t="shared" ca="1" si="22"/>
        <v>36.689100000000003</v>
      </c>
      <c r="Y140">
        <f t="shared" ca="1" si="23"/>
        <v>47.57358</v>
      </c>
      <c r="Z140" s="19">
        <f t="shared" ca="1" si="27"/>
        <v>0.81</v>
      </c>
      <c r="AA140" s="19">
        <f t="shared" ca="1" si="27"/>
        <v>0.56999999999999995</v>
      </c>
      <c r="AB140" s="19">
        <f t="shared" ca="1" si="27"/>
        <v>0.62</v>
      </c>
      <c r="AC140">
        <f t="shared" ca="1" si="24"/>
        <v>36.81644</v>
      </c>
      <c r="AD140">
        <f t="shared" ca="1" si="25"/>
        <v>47.661149999999999</v>
      </c>
      <c r="AE140">
        <f t="shared" ca="1" si="28"/>
        <v>3568</v>
      </c>
      <c r="AF140">
        <f t="shared" ca="1" si="29"/>
        <v>36.3568</v>
      </c>
      <c r="AI140" s="10" t="s">
        <v>41</v>
      </c>
      <c r="AJ140" t="str">
        <f t="shared" si="30"/>
        <v>Infantry Squad  #139</v>
      </c>
      <c r="AL140" s="10">
        <f t="shared" ca="1" si="31"/>
        <v>936</v>
      </c>
      <c r="AM140" s="10">
        <f t="shared" ca="1" si="32"/>
        <v>47.793600000000005</v>
      </c>
    </row>
    <row r="141" spans="1:39" x14ac:dyDescent="0.25">
      <c r="A141" s="10">
        <v>140</v>
      </c>
      <c r="B141" s="10" t="s">
        <v>184</v>
      </c>
      <c r="C141" s="10" t="s">
        <v>15</v>
      </c>
      <c r="D141" s="10" t="s">
        <v>18</v>
      </c>
      <c r="E141" s="11">
        <v>36.675939999999997</v>
      </c>
      <c r="F141" s="11">
        <v>47.682180000000002</v>
      </c>
      <c r="G141" s="12">
        <v>1.5E-3</v>
      </c>
      <c r="H141" s="13">
        <v>90</v>
      </c>
      <c r="I141" s="10">
        <v>100</v>
      </c>
      <c r="J141" s="10">
        <v>100</v>
      </c>
      <c r="K141" s="14">
        <v>0.4</v>
      </c>
      <c r="L141" s="10">
        <v>15</v>
      </c>
      <c r="M141" s="15">
        <v>0.6</v>
      </c>
      <c r="N141" s="10">
        <v>5</v>
      </c>
      <c r="O141" s="10">
        <v>10</v>
      </c>
      <c r="U141" s="20">
        <f t="shared" ca="1" si="26"/>
        <v>0.04</v>
      </c>
      <c r="V141" s="20">
        <f t="shared" ca="1" si="26"/>
        <v>0.51</v>
      </c>
      <c r="W141" s="20">
        <f t="shared" ca="1" si="26"/>
        <v>0.94</v>
      </c>
      <c r="X141">
        <f t="shared" ca="1" si="22"/>
        <v>36.662840000000003</v>
      </c>
      <c r="Y141">
        <f t="shared" ca="1" si="23"/>
        <v>47.561459999999997</v>
      </c>
      <c r="Z141" s="19">
        <f t="shared" ca="1" si="27"/>
        <v>0.76</v>
      </c>
      <c r="AA141" s="19">
        <f t="shared" ca="1" si="27"/>
        <v>0.04</v>
      </c>
      <c r="AB141" s="19">
        <f t="shared" ca="1" si="27"/>
        <v>0.68</v>
      </c>
      <c r="AC141">
        <f t="shared" ca="1" si="24"/>
        <v>36.766399999999997</v>
      </c>
      <c r="AD141">
        <f t="shared" ca="1" si="25"/>
        <v>47.616799999999998</v>
      </c>
      <c r="AE141">
        <f t="shared" ca="1" si="28"/>
        <v>3162</v>
      </c>
      <c r="AF141">
        <f t="shared" ca="1" si="29"/>
        <v>36.316200000000002</v>
      </c>
      <c r="AI141" s="10" t="s">
        <v>41</v>
      </c>
      <c r="AJ141" t="str">
        <f t="shared" si="30"/>
        <v>Infantry Squad  #140</v>
      </c>
      <c r="AL141" s="10">
        <f t="shared" ca="1" si="31"/>
        <v>907</v>
      </c>
      <c r="AM141" s="10">
        <f t="shared" ca="1" si="32"/>
        <v>47.790700000000001</v>
      </c>
    </row>
    <row r="142" spans="1:39" x14ac:dyDescent="0.25">
      <c r="A142" s="10">
        <v>141</v>
      </c>
      <c r="B142" s="10" t="s">
        <v>185</v>
      </c>
      <c r="C142" s="10" t="s">
        <v>15</v>
      </c>
      <c r="D142" s="10" t="s">
        <v>16</v>
      </c>
      <c r="E142" s="11">
        <v>36.706949999999999</v>
      </c>
      <c r="F142" s="11">
        <v>47.545110000000001</v>
      </c>
      <c r="G142" s="12">
        <v>2E-3</v>
      </c>
      <c r="H142" s="13">
        <v>90</v>
      </c>
      <c r="I142" s="10">
        <v>100</v>
      </c>
      <c r="J142" s="10">
        <v>100</v>
      </c>
      <c r="K142" s="14">
        <v>2.5</v>
      </c>
      <c r="L142" s="10">
        <v>80</v>
      </c>
      <c r="M142" s="15">
        <v>0.75</v>
      </c>
      <c r="N142" s="10">
        <v>80</v>
      </c>
      <c r="O142" s="10">
        <v>3</v>
      </c>
      <c r="U142" s="20">
        <f t="shared" ca="1" si="26"/>
        <v>0.77</v>
      </c>
      <c r="V142" s="20">
        <f t="shared" ca="1" si="26"/>
        <v>0.11</v>
      </c>
      <c r="W142" s="20">
        <f t="shared" ca="1" si="26"/>
        <v>0.36</v>
      </c>
      <c r="X142">
        <f t="shared" ca="1" si="22"/>
        <v>36.645110000000003</v>
      </c>
      <c r="Y142">
        <f t="shared" ca="1" si="23"/>
        <v>47.657550000000001</v>
      </c>
      <c r="Z142" s="19">
        <f t="shared" ca="1" si="27"/>
        <v>0.45</v>
      </c>
      <c r="AA142" s="19">
        <f t="shared" ca="1" si="27"/>
        <v>0.06</v>
      </c>
      <c r="AB142" s="19">
        <f t="shared" ca="1" si="27"/>
        <v>0.14000000000000001</v>
      </c>
      <c r="AC142">
        <f t="shared" ca="1" si="24"/>
        <v>36.78331</v>
      </c>
      <c r="AD142">
        <f t="shared" ca="1" si="25"/>
        <v>47.613959999999999</v>
      </c>
      <c r="AE142">
        <f t="shared" ca="1" si="28"/>
        <v>296</v>
      </c>
      <c r="AF142">
        <f t="shared" ca="1" si="29"/>
        <v>36.029600000000002</v>
      </c>
      <c r="AI142" s="10" t="s">
        <v>37</v>
      </c>
      <c r="AJ142" t="str">
        <f t="shared" si="30"/>
        <v>T-72B3 Tank  #141</v>
      </c>
      <c r="AL142" s="10">
        <f t="shared" ca="1" si="31"/>
        <v>569</v>
      </c>
      <c r="AM142" s="10">
        <f t="shared" ca="1" si="32"/>
        <v>47.756900000000002</v>
      </c>
    </row>
    <row r="143" spans="1:39" x14ac:dyDescent="0.25">
      <c r="A143" s="10">
        <v>142</v>
      </c>
      <c r="B143" s="10" t="s">
        <v>186</v>
      </c>
      <c r="C143" s="10" t="s">
        <v>15</v>
      </c>
      <c r="D143" s="10" t="s">
        <v>16</v>
      </c>
      <c r="E143" s="11">
        <v>36.636049999999997</v>
      </c>
      <c r="F143" s="11">
        <v>47.645609999999998</v>
      </c>
      <c r="G143" s="12">
        <v>2E-3</v>
      </c>
      <c r="H143" s="13">
        <v>90</v>
      </c>
      <c r="I143" s="10">
        <v>100</v>
      </c>
      <c r="J143" s="10">
        <v>100</v>
      </c>
      <c r="K143" s="14">
        <v>2.5</v>
      </c>
      <c r="L143" s="10">
        <v>80</v>
      </c>
      <c r="M143" s="15">
        <v>0.75</v>
      </c>
      <c r="N143" s="10">
        <v>80</v>
      </c>
      <c r="O143" s="10">
        <v>3</v>
      </c>
      <c r="U143" s="20">
        <f t="shared" ca="1" si="26"/>
        <v>0.31</v>
      </c>
      <c r="V143" s="20">
        <f t="shared" ca="1" si="26"/>
        <v>0.67</v>
      </c>
      <c r="W143" s="20">
        <f t="shared" ca="1" si="26"/>
        <v>0.05</v>
      </c>
      <c r="X143">
        <f t="shared" ca="1" si="22"/>
        <v>36.526330000000002</v>
      </c>
      <c r="Y143">
        <f t="shared" ca="1" si="23"/>
        <v>47.614049999999999</v>
      </c>
      <c r="Z143" s="19">
        <f t="shared" ca="1" si="27"/>
        <v>0.33</v>
      </c>
      <c r="AA143" s="19">
        <f t="shared" ca="1" si="27"/>
        <v>0.78</v>
      </c>
      <c r="AB143" s="19">
        <f t="shared" ca="1" si="27"/>
        <v>0.42</v>
      </c>
      <c r="AC143">
        <f t="shared" ca="1" si="24"/>
        <v>36.882480000000001</v>
      </c>
      <c r="AD143">
        <f t="shared" ca="1" si="25"/>
        <v>47.618549999999999</v>
      </c>
      <c r="AE143">
        <f t="shared" ca="1" si="28"/>
        <v>190</v>
      </c>
      <c r="AF143">
        <f t="shared" ca="1" si="29"/>
        <v>36.018999999999998</v>
      </c>
      <c r="AI143" s="10" t="s">
        <v>37</v>
      </c>
      <c r="AJ143" t="str">
        <f t="shared" si="30"/>
        <v>T-72B3 Tank  #142</v>
      </c>
      <c r="AL143" s="10">
        <f t="shared" ca="1" si="31"/>
        <v>680</v>
      </c>
      <c r="AM143" s="10">
        <f t="shared" ca="1" si="32"/>
        <v>47.768000000000001</v>
      </c>
    </row>
    <row r="144" spans="1:39" x14ac:dyDescent="0.25">
      <c r="A144" s="10">
        <v>143</v>
      </c>
      <c r="B144" s="10" t="s">
        <v>187</v>
      </c>
      <c r="C144" s="10" t="s">
        <v>15</v>
      </c>
      <c r="D144" s="10" t="s">
        <v>16</v>
      </c>
      <c r="E144" s="11">
        <v>36.73865</v>
      </c>
      <c r="F144" s="11">
        <v>47.667470000000002</v>
      </c>
      <c r="G144" s="12">
        <v>2.5000000000000001E-3</v>
      </c>
      <c r="H144" s="13">
        <v>90</v>
      </c>
      <c r="I144" s="10">
        <v>110</v>
      </c>
      <c r="J144" s="10">
        <v>110</v>
      </c>
      <c r="K144" s="14">
        <v>2.8</v>
      </c>
      <c r="L144" s="10">
        <v>85</v>
      </c>
      <c r="M144" s="15">
        <v>0.78</v>
      </c>
      <c r="N144" s="10">
        <v>85</v>
      </c>
      <c r="O144" s="10">
        <v>3</v>
      </c>
      <c r="U144" s="20">
        <f t="shared" ca="1" si="26"/>
        <v>0.17</v>
      </c>
      <c r="V144" s="20">
        <f t="shared" ca="1" si="26"/>
        <v>0.09</v>
      </c>
      <c r="W144" s="20">
        <f t="shared" ca="1" si="26"/>
        <v>0.88</v>
      </c>
      <c r="X144">
        <f t="shared" ca="1" si="22"/>
        <v>36.622799999999998</v>
      </c>
      <c r="Y144">
        <f t="shared" ca="1" si="23"/>
        <v>47.643599999999999</v>
      </c>
      <c r="Z144" s="19">
        <f t="shared" ca="1" si="27"/>
        <v>0.17</v>
      </c>
      <c r="AA144" s="19">
        <f t="shared" ca="1" si="27"/>
        <v>0.31</v>
      </c>
      <c r="AB144" s="19">
        <f t="shared" ca="1" si="27"/>
        <v>0.47</v>
      </c>
      <c r="AC144">
        <f t="shared" ca="1" si="24"/>
        <v>36.83352</v>
      </c>
      <c r="AD144">
        <f t="shared" ca="1" si="25"/>
        <v>47.613079999999997</v>
      </c>
      <c r="AE144">
        <f t="shared" ca="1" si="28"/>
        <v>1852</v>
      </c>
      <c r="AF144">
        <f t="shared" ca="1" si="29"/>
        <v>36.185200000000002</v>
      </c>
      <c r="AI144" s="10" t="s">
        <v>38</v>
      </c>
      <c r="AJ144" t="str">
        <f t="shared" si="30"/>
        <v>T-80BVM Tank  #143</v>
      </c>
      <c r="AL144" s="10">
        <f t="shared" ca="1" si="31"/>
        <v>725</v>
      </c>
      <c r="AM144" s="10">
        <f t="shared" ca="1" si="32"/>
        <v>47.772500000000001</v>
      </c>
    </row>
    <row r="145" spans="1:39" x14ac:dyDescent="0.25">
      <c r="A145" s="10">
        <v>144</v>
      </c>
      <c r="B145" s="10" t="s">
        <v>188</v>
      </c>
      <c r="C145" s="10" t="s">
        <v>15</v>
      </c>
      <c r="D145" s="10" t="s">
        <v>16</v>
      </c>
      <c r="E145" s="11">
        <v>36.66019</v>
      </c>
      <c r="F145" s="11">
        <v>47.573860000000003</v>
      </c>
      <c r="G145" s="12">
        <v>2E-3</v>
      </c>
      <c r="H145" s="13">
        <v>90</v>
      </c>
      <c r="I145" s="10">
        <v>100</v>
      </c>
      <c r="J145" s="10">
        <v>100</v>
      </c>
      <c r="K145" s="14">
        <v>2.5</v>
      </c>
      <c r="L145" s="10">
        <v>80</v>
      </c>
      <c r="M145" s="15">
        <v>0.75</v>
      </c>
      <c r="N145" s="10">
        <v>80</v>
      </c>
      <c r="O145" s="10">
        <v>3</v>
      </c>
      <c r="U145" s="20">
        <f t="shared" ca="1" si="26"/>
        <v>0.55000000000000004</v>
      </c>
      <c r="V145" s="20">
        <f t="shared" ca="1" si="26"/>
        <v>0.23</v>
      </c>
      <c r="W145" s="20">
        <f t="shared" ca="1" si="26"/>
        <v>0.32</v>
      </c>
      <c r="X145">
        <f t="shared" ca="1" si="22"/>
        <v>36.6633</v>
      </c>
      <c r="Y145">
        <f t="shared" ca="1" si="23"/>
        <v>47.634779999999999</v>
      </c>
      <c r="Z145" s="19">
        <f t="shared" ca="1" si="27"/>
        <v>0.35</v>
      </c>
      <c r="AA145" s="19">
        <f t="shared" ca="1" si="27"/>
        <v>0.11</v>
      </c>
      <c r="AB145" s="19">
        <f t="shared" ca="1" si="27"/>
        <v>0.02</v>
      </c>
      <c r="AC145">
        <f t="shared" ca="1" si="24"/>
        <v>36.799750000000003</v>
      </c>
      <c r="AD145">
        <f t="shared" ca="1" si="25"/>
        <v>47.60033</v>
      </c>
      <c r="AE145">
        <f t="shared" ca="1" si="28"/>
        <v>1985</v>
      </c>
      <c r="AF145">
        <f t="shared" ca="1" si="29"/>
        <v>36.198500000000003</v>
      </c>
      <c r="AI145" s="10" t="s">
        <v>37</v>
      </c>
      <c r="AJ145" t="str">
        <f t="shared" si="30"/>
        <v>T-72B3 Tank  #144</v>
      </c>
      <c r="AL145" s="10">
        <f t="shared" ca="1" si="31"/>
        <v>498</v>
      </c>
      <c r="AM145" s="10">
        <f t="shared" ca="1" si="32"/>
        <v>47.7498</v>
      </c>
    </row>
    <row r="146" spans="1:39" x14ac:dyDescent="0.25">
      <c r="A146" s="10">
        <v>145</v>
      </c>
      <c r="B146" s="10" t="s">
        <v>189</v>
      </c>
      <c r="C146" s="10" t="s">
        <v>15</v>
      </c>
      <c r="D146" s="10" t="s">
        <v>16</v>
      </c>
      <c r="E146" s="11">
        <v>36.627200000000002</v>
      </c>
      <c r="F146" s="11">
        <v>47.674399999999999</v>
      </c>
      <c r="G146" s="12">
        <v>2.5000000000000001E-3</v>
      </c>
      <c r="H146" s="13">
        <v>90</v>
      </c>
      <c r="I146" s="10">
        <v>110</v>
      </c>
      <c r="J146" s="10">
        <v>110</v>
      </c>
      <c r="K146" s="14">
        <v>2.8</v>
      </c>
      <c r="L146" s="10">
        <v>85</v>
      </c>
      <c r="M146" s="15">
        <v>0.78</v>
      </c>
      <c r="N146" s="10">
        <v>85</v>
      </c>
      <c r="O146" s="10">
        <v>3</v>
      </c>
      <c r="U146" s="20">
        <f t="shared" ca="1" si="26"/>
        <v>0.98</v>
      </c>
      <c r="V146" s="20">
        <f t="shared" ca="1" si="26"/>
        <v>0.7</v>
      </c>
      <c r="W146" s="20">
        <f t="shared" ca="1" si="26"/>
        <v>0.02</v>
      </c>
      <c r="X146">
        <f t="shared" ca="1" si="22"/>
        <v>36.685339999999997</v>
      </c>
      <c r="Y146">
        <f t="shared" ca="1" si="23"/>
        <v>47.536009999999997</v>
      </c>
      <c r="Z146" s="19">
        <f t="shared" ca="1" si="27"/>
        <v>0.26</v>
      </c>
      <c r="AA146" s="19">
        <f t="shared" ca="1" si="27"/>
        <v>0</v>
      </c>
      <c r="AB146" s="19">
        <f t="shared" ca="1" si="27"/>
        <v>0.37</v>
      </c>
      <c r="AC146">
        <f t="shared" ca="1" si="24"/>
        <v>36.75</v>
      </c>
      <c r="AD146">
        <f t="shared" ca="1" si="25"/>
        <v>47.6</v>
      </c>
      <c r="AE146">
        <f t="shared" ca="1" si="28"/>
        <v>2162</v>
      </c>
      <c r="AF146">
        <f t="shared" ca="1" si="29"/>
        <v>36.216200000000001</v>
      </c>
      <c r="AI146" s="10" t="s">
        <v>38</v>
      </c>
      <c r="AJ146" t="str">
        <f t="shared" si="30"/>
        <v>T-80BVM Tank  #145</v>
      </c>
      <c r="AL146" s="10">
        <f t="shared" ca="1" si="31"/>
        <v>723</v>
      </c>
      <c r="AM146" s="10">
        <f t="shared" ca="1" si="32"/>
        <v>47.772300000000001</v>
      </c>
    </row>
    <row r="147" spans="1:39" x14ac:dyDescent="0.25">
      <c r="A147" s="10">
        <v>146</v>
      </c>
      <c r="B147" s="10" t="s">
        <v>190</v>
      </c>
      <c r="C147" s="10" t="s">
        <v>15</v>
      </c>
      <c r="D147" s="10" t="s">
        <v>17</v>
      </c>
      <c r="E147" s="11">
        <v>36.629629999999999</v>
      </c>
      <c r="F147" s="11">
        <v>47.65343</v>
      </c>
      <c r="G147" s="12">
        <v>3.0000000000000001E-3</v>
      </c>
      <c r="H147" s="13">
        <v>90</v>
      </c>
      <c r="I147" s="10">
        <v>60</v>
      </c>
      <c r="J147" s="10">
        <v>60</v>
      </c>
      <c r="K147" s="14">
        <v>1.5</v>
      </c>
      <c r="L147" s="10">
        <v>40</v>
      </c>
      <c r="M147" s="15">
        <v>0.7</v>
      </c>
      <c r="N147" s="10">
        <v>30</v>
      </c>
      <c r="O147" s="10">
        <v>7</v>
      </c>
      <c r="U147" s="20">
        <f t="shared" ca="1" si="26"/>
        <v>0.86</v>
      </c>
      <c r="V147" s="20">
        <f t="shared" ca="1" si="26"/>
        <v>0.46</v>
      </c>
      <c r="W147" s="20">
        <f t="shared" ca="1" si="26"/>
        <v>0.96</v>
      </c>
      <c r="X147">
        <f t="shared" ca="1" si="22"/>
        <v>36.732930000000003</v>
      </c>
      <c r="Y147">
        <f t="shared" ca="1" si="23"/>
        <v>47.694569999999999</v>
      </c>
      <c r="Z147" s="19">
        <f t="shared" ca="1" si="27"/>
        <v>0.09</v>
      </c>
      <c r="AA147" s="19">
        <f t="shared" ca="1" si="27"/>
        <v>0.93</v>
      </c>
      <c r="AB147" s="19">
        <f t="shared" ca="1" si="27"/>
        <v>0.74</v>
      </c>
      <c r="AC147">
        <f t="shared" ca="1" si="24"/>
        <v>36.894649999999999</v>
      </c>
      <c r="AD147">
        <f t="shared" ca="1" si="25"/>
        <v>47.635680000000001</v>
      </c>
      <c r="AE147">
        <f t="shared" ca="1" si="28"/>
        <v>7676</v>
      </c>
      <c r="AF147">
        <f t="shared" ca="1" si="29"/>
        <v>36.767600000000002</v>
      </c>
      <c r="AI147" s="10" t="s">
        <v>39</v>
      </c>
      <c r="AJ147" t="str">
        <f t="shared" si="30"/>
        <v>BMP-2  #146</v>
      </c>
      <c r="AL147" s="10">
        <f t="shared" ca="1" si="31"/>
        <v>716</v>
      </c>
      <c r="AM147" s="10">
        <f t="shared" ca="1" si="32"/>
        <v>47.771599999999999</v>
      </c>
    </row>
    <row r="148" spans="1:39" x14ac:dyDescent="0.25">
      <c r="A148" s="10">
        <v>147</v>
      </c>
      <c r="B148" s="10" t="s">
        <v>191</v>
      </c>
      <c r="C148" s="10" t="s">
        <v>15</v>
      </c>
      <c r="D148" s="10" t="s">
        <v>17</v>
      </c>
      <c r="E148" s="11">
        <v>36.681080000000001</v>
      </c>
      <c r="F148" s="11">
        <v>47.687800000000003</v>
      </c>
      <c r="G148" s="12">
        <v>3.0000000000000001E-3</v>
      </c>
      <c r="H148" s="13">
        <v>90</v>
      </c>
      <c r="I148" s="10">
        <v>60</v>
      </c>
      <c r="J148" s="10">
        <v>60</v>
      </c>
      <c r="K148" s="14">
        <v>1.5</v>
      </c>
      <c r="L148" s="10">
        <v>40</v>
      </c>
      <c r="M148" s="15">
        <v>0.7</v>
      </c>
      <c r="N148" s="10">
        <v>30</v>
      </c>
      <c r="O148" s="10">
        <v>7</v>
      </c>
      <c r="U148" s="20">
        <f t="shared" ca="1" si="26"/>
        <v>0.52</v>
      </c>
      <c r="V148" s="20">
        <f t="shared" ca="1" si="26"/>
        <v>0.83</v>
      </c>
      <c r="W148" s="20">
        <f t="shared" ca="1" si="26"/>
        <v>0.67</v>
      </c>
      <c r="X148">
        <f t="shared" ca="1" si="22"/>
        <v>36.752139999999997</v>
      </c>
      <c r="Y148">
        <f t="shared" ca="1" si="23"/>
        <v>47.639870000000002</v>
      </c>
      <c r="Z148" s="19">
        <f t="shared" ca="1" si="27"/>
        <v>0.37</v>
      </c>
      <c r="AA148" s="19">
        <f t="shared" ca="1" si="27"/>
        <v>0.46</v>
      </c>
      <c r="AB148" s="19">
        <f t="shared" ca="1" si="27"/>
        <v>0.99</v>
      </c>
      <c r="AC148">
        <f t="shared" ca="1" si="24"/>
        <v>36.851730000000003</v>
      </c>
      <c r="AD148">
        <f t="shared" ca="1" si="25"/>
        <v>47.633569999999999</v>
      </c>
      <c r="AE148">
        <f t="shared" ca="1" si="28"/>
        <v>7222</v>
      </c>
      <c r="AF148">
        <f t="shared" ca="1" si="29"/>
        <v>36.722200000000001</v>
      </c>
      <c r="AI148" s="10" t="s">
        <v>39</v>
      </c>
      <c r="AJ148" t="str">
        <f t="shared" si="30"/>
        <v>BMP-2  #147</v>
      </c>
      <c r="AL148" s="10">
        <f t="shared" ca="1" si="31"/>
        <v>425</v>
      </c>
      <c r="AM148" s="10">
        <f t="shared" ca="1" si="32"/>
        <v>47.7425</v>
      </c>
    </row>
    <row r="149" spans="1:39" x14ac:dyDescent="0.25">
      <c r="A149" s="10">
        <v>148</v>
      </c>
      <c r="B149" s="10" t="s">
        <v>192</v>
      </c>
      <c r="C149" s="10" t="s">
        <v>15</v>
      </c>
      <c r="D149" s="10" t="s">
        <v>17</v>
      </c>
      <c r="E149" s="11">
        <v>36.79701</v>
      </c>
      <c r="F149" s="11">
        <v>47.696019999999997</v>
      </c>
      <c r="G149" s="12">
        <v>3.5000000000000001E-3</v>
      </c>
      <c r="H149" s="13">
        <v>90</v>
      </c>
      <c r="I149" s="10">
        <v>50</v>
      </c>
      <c r="J149" s="10">
        <v>50</v>
      </c>
      <c r="K149" s="14">
        <v>1.2</v>
      </c>
      <c r="L149" s="10">
        <v>25</v>
      </c>
      <c r="M149" s="15">
        <v>0.65</v>
      </c>
      <c r="N149" s="10">
        <v>20</v>
      </c>
      <c r="O149" s="10">
        <v>8</v>
      </c>
      <c r="U149" s="20">
        <f t="shared" ca="1" si="26"/>
        <v>0.75</v>
      </c>
      <c r="V149" s="20">
        <f t="shared" ca="1" si="26"/>
        <v>0.54</v>
      </c>
      <c r="W149" s="20">
        <f t="shared" ca="1" si="26"/>
        <v>0.25</v>
      </c>
      <c r="X149">
        <f t="shared" ca="1" si="22"/>
        <v>36.691859999999998</v>
      </c>
      <c r="Y149">
        <f t="shared" ca="1" si="23"/>
        <v>47.589770000000001</v>
      </c>
      <c r="Z149" s="19">
        <f t="shared" ca="1" si="27"/>
        <v>0.89</v>
      </c>
      <c r="AA149" s="19">
        <f t="shared" ca="1" si="27"/>
        <v>0.38</v>
      </c>
      <c r="AB149" s="19">
        <f t="shared" ca="1" si="27"/>
        <v>0.76</v>
      </c>
      <c r="AC149">
        <f t="shared" ca="1" si="24"/>
        <v>36.79562</v>
      </c>
      <c r="AD149">
        <f t="shared" ca="1" si="25"/>
        <v>47.654249999999998</v>
      </c>
      <c r="AE149">
        <f t="shared" ca="1" si="28"/>
        <v>452</v>
      </c>
      <c r="AF149">
        <f t="shared" ca="1" si="29"/>
        <v>36.045200000000001</v>
      </c>
      <c r="AI149" s="10" t="s">
        <v>40</v>
      </c>
      <c r="AJ149" t="str">
        <f t="shared" si="30"/>
        <v>BTR-80  #148</v>
      </c>
      <c r="AL149" s="10">
        <f t="shared" ca="1" si="31"/>
        <v>306</v>
      </c>
      <c r="AM149" s="10">
        <f t="shared" ca="1" si="32"/>
        <v>47.730600000000003</v>
      </c>
    </row>
    <row r="150" spans="1:39" x14ac:dyDescent="0.25">
      <c r="A150" s="10">
        <v>149</v>
      </c>
      <c r="B150" s="10" t="s">
        <v>193</v>
      </c>
      <c r="C150" s="10" t="s">
        <v>15</v>
      </c>
      <c r="D150" s="10" t="s">
        <v>17</v>
      </c>
      <c r="E150" s="11">
        <v>36.656970000000001</v>
      </c>
      <c r="F150" s="11">
        <v>47.669710000000002</v>
      </c>
      <c r="G150" s="12">
        <v>3.0000000000000001E-3</v>
      </c>
      <c r="H150" s="13">
        <v>90</v>
      </c>
      <c r="I150" s="10">
        <v>60</v>
      </c>
      <c r="J150" s="10">
        <v>60</v>
      </c>
      <c r="K150" s="14">
        <v>1.5</v>
      </c>
      <c r="L150" s="10">
        <v>40</v>
      </c>
      <c r="M150" s="15">
        <v>0.7</v>
      </c>
      <c r="N150" s="10">
        <v>30</v>
      </c>
      <c r="O150" s="10">
        <v>7</v>
      </c>
      <c r="U150" s="20">
        <f t="shared" ca="1" si="26"/>
        <v>0.21</v>
      </c>
      <c r="V150" s="20">
        <f t="shared" ca="1" si="26"/>
        <v>0.2</v>
      </c>
      <c r="W150" s="20">
        <f t="shared" ca="1" si="26"/>
        <v>0.55000000000000004</v>
      </c>
      <c r="X150">
        <f t="shared" ca="1" si="22"/>
        <v>36.604469999999999</v>
      </c>
      <c r="Y150">
        <f t="shared" ca="1" si="23"/>
        <v>47.630679999999998</v>
      </c>
      <c r="Z150" s="19">
        <f t="shared" ca="1" si="27"/>
        <v>0.37</v>
      </c>
      <c r="AA150" s="19">
        <f t="shared" ca="1" si="27"/>
        <v>0.52</v>
      </c>
      <c r="AB150" s="19">
        <f t="shared" ca="1" si="27"/>
        <v>0.89</v>
      </c>
      <c r="AC150">
        <f t="shared" ca="1" si="24"/>
        <v>36.858170000000001</v>
      </c>
      <c r="AD150">
        <f t="shared" ca="1" si="25"/>
        <v>47.632089999999998</v>
      </c>
      <c r="AE150">
        <f t="shared" ca="1" si="28"/>
        <v>8855</v>
      </c>
      <c r="AF150">
        <f t="shared" ca="1" si="29"/>
        <v>36.8855</v>
      </c>
      <c r="AI150" s="10" t="s">
        <v>39</v>
      </c>
      <c r="AJ150" t="str">
        <f t="shared" si="30"/>
        <v>BMP-2  #149</v>
      </c>
      <c r="AL150" s="10">
        <f t="shared" ca="1" si="31"/>
        <v>899</v>
      </c>
      <c r="AM150" s="10">
        <f t="shared" ca="1" si="32"/>
        <v>47.789900000000003</v>
      </c>
    </row>
    <row r="151" spans="1:39" x14ac:dyDescent="0.25">
      <c r="A151" s="10">
        <v>150</v>
      </c>
      <c r="B151" s="10" t="s">
        <v>194</v>
      </c>
      <c r="C151" s="10" t="s">
        <v>15</v>
      </c>
      <c r="D151" s="10" t="s">
        <v>17</v>
      </c>
      <c r="E151" s="11">
        <v>36.665889999999997</v>
      </c>
      <c r="F151" s="11">
        <v>47.59854</v>
      </c>
      <c r="G151" s="12">
        <v>3.0000000000000001E-3</v>
      </c>
      <c r="H151" s="13">
        <v>90</v>
      </c>
      <c r="I151" s="10">
        <v>60</v>
      </c>
      <c r="J151" s="10">
        <v>60</v>
      </c>
      <c r="K151" s="14">
        <v>1.5</v>
      </c>
      <c r="L151" s="10">
        <v>40</v>
      </c>
      <c r="M151" s="15">
        <v>0.7</v>
      </c>
      <c r="N151" s="10">
        <v>30</v>
      </c>
      <c r="O151" s="10">
        <v>7</v>
      </c>
      <c r="U151" s="20">
        <f t="shared" ca="1" si="26"/>
        <v>0.12</v>
      </c>
      <c r="V151" s="20">
        <f t="shared" ca="1" si="26"/>
        <v>0.17</v>
      </c>
      <c r="W151" s="20">
        <f t="shared" ca="1" si="26"/>
        <v>7.0000000000000007E-2</v>
      </c>
      <c r="X151">
        <f t="shared" ca="1" si="22"/>
        <v>36.564540000000001</v>
      </c>
      <c r="Y151">
        <f t="shared" ca="1" si="23"/>
        <v>47.655880000000003</v>
      </c>
      <c r="Z151" s="19">
        <f t="shared" ca="1" si="27"/>
        <v>0.54</v>
      </c>
      <c r="AA151" s="19">
        <f t="shared" ca="1" si="27"/>
        <v>0.41</v>
      </c>
      <c r="AB151" s="19">
        <f t="shared" ca="1" si="27"/>
        <v>0.5</v>
      </c>
      <c r="AC151">
        <f t="shared" ca="1" si="24"/>
        <v>36.814030000000002</v>
      </c>
      <c r="AD151">
        <f t="shared" ca="1" si="25"/>
        <v>47.648020000000002</v>
      </c>
      <c r="AE151">
        <f t="shared" ca="1" si="28"/>
        <v>6121</v>
      </c>
      <c r="AF151">
        <f t="shared" ca="1" si="29"/>
        <v>36.612099999999998</v>
      </c>
      <c r="AI151" s="10" t="s">
        <v>39</v>
      </c>
      <c r="AJ151" t="str">
        <f t="shared" si="30"/>
        <v>BMP-2  #150</v>
      </c>
      <c r="AL151" s="10">
        <f t="shared" ca="1" si="31"/>
        <v>911</v>
      </c>
      <c r="AM151" s="10">
        <f t="shared" ca="1" si="32"/>
        <v>47.7911</v>
      </c>
    </row>
    <row r="152" spans="1:39" x14ac:dyDescent="0.25">
      <c r="A152" s="10">
        <v>151</v>
      </c>
      <c r="B152" s="10" t="s">
        <v>195</v>
      </c>
      <c r="C152" s="10" t="s">
        <v>15</v>
      </c>
      <c r="D152" s="10" t="s">
        <v>17</v>
      </c>
      <c r="E152" s="11">
        <v>36.686520000000002</v>
      </c>
      <c r="F152" s="11">
        <v>47.555540000000001</v>
      </c>
      <c r="G152" s="12">
        <v>3.5000000000000001E-3</v>
      </c>
      <c r="H152" s="13">
        <v>90</v>
      </c>
      <c r="I152" s="10">
        <v>50</v>
      </c>
      <c r="J152" s="10">
        <v>50</v>
      </c>
      <c r="K152" s="14">
        <v>1.2</v>
      </c>
      <c r="L152" s="10">
        <v>25</v>
      </c>
      <c r="M152" s="15">
        <v>0.65</v>
      </c>
      <c r="N152" s="10">
        <v>20</v>
      </c>
      <c r="O152" s="10">
        <v>8</v>
      </c>
      <c r="U152" s="20">
        <f t="shared" ca="1" si="26"/>
        <v>0.77</v>
      </c>
      <c r="V152" s="20">
        <f t="shared" ca="1" si="26"/>
        <v>0.03</v>
      </c>
      <c r="W152" s="20">
        <f t="shared" ca="1" si="26"/>
        <v>0.43</v>
      </c>
      <c r="X152">
        <f t="shared" ca="1" si="22"/>
        <v>36.624769999999998</v>
      </c>
      <c r="Y152">
        <f t="shared" ca="1" si="23"/>
        <v>47.680250000000001</v>
      </c>
      <c r="Z152" s="19">
        <f t="shared" ca="1" si="27"/>
        <v>0.43</v>
      </c>
      <c r="AA152" s="19">
        <f t="shared" ca="1" si="27"/>
        <v>0.42</v>
      </c>
      <c r="AB152" s="19">
        <f t="shared" ca="1" si="27"/>
        <v>0.32</v>
      </c>
      <c r="AC152">
        <f t="shared" ca="1" si="24"/>
        <v>36.82647</v>
      </c>
      <c r="AD152">
        <f t="shared" ca="1" si="25"/>
        <v>47.642769999999999</v>
      </c>
      <c r="AE152">
        <f t="shared" ca="1" si="28"/>
        <v>538</v>
      </c>
      <c r="AF152">
        <f t="shared" ca="1" si="29"/>
        <v>36.053800000000003</v>
      </c>
      <c r="AI152" s="10" t="s">
        <v>40</v>
      </c>
      <c r="AJ152" t="str">
        <f t="shared" si="30"/>
        <v>BTR-80  #151</v>
      </c>
      <c r="AL152" s="10">
        <f t="shared" ca="1" si="31"/>
        <v>935</v>
      </c>
      <c r="AM152" s="10">
        <f t="shared" ca="1" si="32"/>
        <v>47.793500000000002</v>
      </c>
    </row>
    <row r="153" spans="1:39" x14ac:dyDescent="0.25">
      <c r="A153" s="10">
        <v>152</v>
      </c>
      <c r="B153" s="10" t="s">
        <v>196</v>
      </c>
      <c r="C153" s="10" t="s">
        <v>15</v>
      </c>
      <c r="D153" s="10" t="s">
        <v>17</v>
      </c>
      <c r="E153" s="11">
        <v>36.68741</v>
      </c>
      <c r="F153" s="11">
        <v>47.652119999999996</v>
      </c>
      <c r="G153" s="12">
        <v>3.0000000000000001E-3</v>
      </c>
      <c r="H153" s="13">
        <v>90</v>
      </c>
      <c r="I153" s="10">
        <v>60</v>
      </c>
      <c r="J153" s="10">
        <v>60</v>
      </c>
      <c r="K153" s="14">
        <v>1.5</v>
      </c>
      <c r="L153" s="10">
        <v>40</v>
      </c>
      <c r="M153" s="15">
        <v>0.7</v>
      </c>
      <c r="N153" s="10">
        <v>30</v>
      </c>
      <c r="O153" s="10">
        <v>7</v>
      </c>
      <c r="U153" s="20">
        <f t="shared" ca="1" si="26"/>
        <v>0.6</v>
      </c>
      <c r="V153" s="20">
        <f t="shared" ca="1" si="26"/>
        <v>0.99</v>
      </c>
      <c r="W153" s="20">
        <f t="shared" ca="1" si="26"/>
        <v>0.02</v>
      </c>
      <c r="X153">
        <f t="shared" ca="1" si="22"/>
        <v>36.70149</v>
      </c>
      <c r="Y153">
        <f t="shared" ca="1" si="23"/>
        <v>47.504980000000003</v>
      </c>
      <c r="Z153" s="19">
        <f t="shared" ca="1" si="27"/>
        <v>0.1</v>
      </c>
      <c r="AA153" s="19">
        <f t="shared" ca="1" si="27"/>
        <v>0.76</v>
      </c>
      <c r="AB153" s="19">
        <f t="shared" ca="1" si="27"/>
        <v>0.56000000000000005</v>
      </c>
      <c r="AC153">
        <f t="shared" ca="1" si="24"/>
        <v>36.880769999999998</v>
      </c>
      <c r="AD153">
        <f t="shared" ca="1" si="25"/>
        <v>47.624409999999997</v>
      </c>
      <c r="AE153">
        <f t="shared" ca="1" si="28"/>
        <v>4222</v>
      </c>
      <c r="AF153">
        <f t="shared" ca="1" si="29"/>
        <v>36.422199999999997</v>
      </c>
      <c r="AI153" s="10" t="s">
        <v>39</v>
      </c>
      <c r="AJ153" t="str">
        <f t="shared" si="30"/>
        <v>BMP-2  #152</v>
      </c>
      <c r="AL153" s="10">
        <f t="shared" ca="1" si="31"/>
        <v>624</v>
      </c>
      <c r="AM153" s="10">
        <f t="shared" ca="1" si="32"/>
        <v>47.7624</v>
      </c>
    </row>
    <row r="154" spans="1:39" x14ac:dyDescent="0.25">
      <c r="A154" s="10">
        <v>153</v>
      </c>
      <c r="B154" s="10" t="s">
        <v>197</v>
      </c>
      <c r="C154" s="10" t="s">
        <v>15</v>
      </c>
      <c r="D154" s="10" t="s">
        <v>17</v>
      </c>
      <c r="E154" s="11">
        <v>36.531739999999999</v>
      </c>
      <c r="F154" s="11">
        <v>47.615070000000003</v>
      </c>
      <c r="G154" s="12">
        <v>3.0000000000000001E-3</v>
      </c>
      <c r="H154" s="13">
        <v>90</v>
      </c>
      <c r="I154" s="10">
        <v>60</v>
      </c>
      <c r="J154" s="10">
        <v>60</v>
      </c>
      <c r="K154" s="14">
        <v>1.5</v>
      </c>
      <c r="L154" s="10">
        <v>40</v>
      </c>
      <c r="M154" s="15">
        <v>0.7</v>
      </c>
      <c r="N154" s="10">
        <v>30</v>
      </c>
      <c r="O154" s="10">
        <v>7</v>
      </c>
      <c r="U154" s="20">
        <f t="shared" ca="1" si="26"/>
        <v>0.83</v>
      </c>
      <c r="V154" s="20">
        <f t="shared" ca="1" si="26"/>
        <v>0.08</v>
      </c>
      <c r="W154" s="20">
        <f t="shared" ca="1" si="26"/>
        <v>0.94</v>
      </c>
      <c r="X154">
        <f t="shared" ca="1" si="22"/>
        <v>36.654870000000003</v>
      </c>
      <c r="Y154">
        <f t="shared" ca="1" si="23"/>
        <v>47.69661</v>
      </c>
      <c r="Z154" s="19">
        <f t="shared" ca="1" si="27"/>
        <v>0.35</v>
      </c>
      <c r="AA154" s="19">
        <f t="shared" ca="1" si="27"/>
        <v>0.56000000000000005</v>
      </c>
      <c r="AB154" s="19">
        <f t="shared" ca="1" si="27"/>
        <v>0.01</v>
      </c>
      <c r="AC154">
        <f t="shared" ca="1" si="24"/>
        <v>36.862250000000003</v>
      </c>
      <c r="AD154">
        <f t="shared" ca="1" si="25"/>
        <v>47.600369999999998</v>
      </c>
      <c r="AE154">
        <f t="shared" ca="1" si="28"/>
        <v>790</v>
      </c>
      <c r="AF154">
        <f t="shared" ca="1" si="29"/>
        <v>36.079000000000001</v>
      </c>
      <c r="AI154" s="10" t="s">
        <v>39</v>
      </c>
      <c r="AJ154" t="str">
        <f t="shared" si="30"/>
        <v>BMP-2  #153</v>
      </c>
      <c r="AL154" s="10">
        <f t="shared" ca="1" si="31"/>
        <v>67</v>
      </c>
      <c r="AM154" s="10">
        <f t="shared" ca="1" si="32"/>
        <v>47.706700000000005</v>
      </c>
    </row>
    <row r="155" spans="1:39" x14ac:dyDescent="0.25">
      <c r="A155" s="10">
        <v>154</v>
      </c>
      <c r="B155" s="10" t="s">
        <v>198</v>
      </c>
      <c r="C155" s="10" t="s">
        <v>15</v>
      </c>
      <c r="D155" s="10" t="s">
        <v>17</v>
      </c>
      <c r="E155" s="11">
        <v>36.746360000000003</v>
      </c>
      <c r="F155" s="11">
        <v>47.64631</v>
      </c>
      <c r="G155" s="12">
        <v>3.5000000000000001E-3</v>
      </c>
      <c r="H155" s="13">
        <v>90</v>
      </c>
      <c r="I155" s="10">
        <v>50</v>
      </c>
      <c r="J155" s="10">
        <v>50</v>
      </c>
      <c r="K155" s="14">
        <v>1.2</v>
      </c>
      <c r="L155" s="10">
        <v>25</v>
      </c>
      <c r="M155" s="15">
        <v>0.65</v>
      </c>
      <c r="N155" s="10">
        <v>20</v>
      </c>
      <c r="O155" s="10">
        <v>8</v>
      </c>
      <c r="U155" s="20">
        <f t="shared" ca="1" si="26"/>
        <v>0.2</v>
      </c>
      <c r="V155" s="20">
        <f t="shared" ca="1" si="26"/>
        <v>0.42</v>
      </c>
      <c r="W155" s="20">
        <f t="shared" ca="1" si="26"/>
        <v>7.0000000000000007E-2</v>
      </c>
      <c r="X155">
        <f t="shared" ca="1" si="22"/>
        <v>36.544269999999997</v>
      </c>
      <c r="Y155">
        <f t="shared" ca="1" si="23"/>
        <v>47.630659999999999</v>
      </c>
      <c r="Z155" s="19">
        <f t="shared" ca="1" si="27"/>
        <v>1</v>
      </c>
      <c r="AA155" s="19">
        <f t="shared" ca="1" si="27"/>
        <v>0.92</v>
      </c>
      <c r="AB155" s="19">
        <f t="shared" ca="1" si="27"/>
        <v>0.62</v>
      </c>
      <c r="AC155">
        <f t="shared" ca="1" si="24"/>
        <v>36.834409999999998</v>
      </c>
      <c r="AD155">
        <f t="shared" ca="1" si="25"/>
        <v>47.677689999999998</v>
      </c>
      <c r="AE155">
        <f t="shared" ca="1" si="28"/>
        <v>1144</v>
      </c>
      <c r="AF155">
        <f t="shared" ca="1" si="29"/>
        <v>36.114400000000003</v>
      </c>
      <c r="AI155" s="10" t="s">
        <v>40</v>
      </c>
      <c r="AJ155" t="str">
        <f t="shared" si="30"/>
        <v>BTR-80  #154</v>
      </c>
      <c r="AL155" s="10">
        <f t="shared" ca="1" si="31"/>
        <v>2</v>
      </c>
      <c r="AM155" s="10">
        <f t="shared" ca="1" si="32"/>
        <v>47.700200000000002</v>
      </c>
    </row>
    <row r="156" spans="1:39" x14ac:dyDescent="0.25">
      <c r="A156" s="10">
        <v>155</v>
      </c>
      <c r="B156" s="10" t="s">
        <v>199</v>
      </c>
      <c r="C156" s="10" t="s">
        <v>15</v>
      </c>
      <c r="D156" s="10" t="s">
        <v>17</v>
      </c>
      <c r="E156" s="11">
        <v>36.609450000000002</v>
      </c>
      <c r="F156" s="11">
        <v>47.577170000000002</v>
      </c>
      <c r="G156" s="12">
        <v>3.0000000000000001E-3</v>
      </c>
      <c r="H156" s="13">
        <v>90</v>
      </c>
      <c r="I156" s="10">
        <v>60</v>
      </c>
      <c r="J156" s="10">
        <v>60</v>
      </c>
      <c r="K156" s="14">
        <v>1.5</v>
      </c>
      <c r="L156" s="10">
        <v>40</v>
      </c>
      <c r="M156" s="15">
        <v>0.7</v>
      </c>
      <c r="N156" s="10">
        <v>30</v>
      </c>
      <c r="O156" s="10">
        <v>7</v>
      </c>
      <c r="U156" s="20">
        <f t="shared" ca="1" si="26"/>
        <v>0.03</v>
      </c>
      <c r="V156" s="20">
        <f t="shared" ca="1" si="26"/>
        <v>0.78</v>
      </c>
      <c r="W156" s="20">
        <f t="shared" ca="1" si="26"/>
        <v>0.78</v>
      </c>
      <c r="X156">
        <f t="shared" ca="1" si="22"/>
        <v>36.649459999999998</v>
      </c>
      <c r="Y156">
        <f t="shared" ca="1" si="23"/>
        <v>47.542789999999997</v>
      </c>
      <c r="Z156" s="19">
        <f t="shared" ca="1" si="27"/>
        <v>0.6</v>
      </c>
      <c r="AA156" s="19">
        <f t="shared" ca="1" si="27"/>
        <v>0.1</v>
      </c>
      <c r="AB156" s="19">
        <f t="shared" ca="1" si="27"/>
        <v>0.85</v>
      </c>
      <c r="AC156">
        <f t="shared" ca="1" si="24"/>
        <v>36.77055</v>
      </c>
      <c r="AD156">
        <f t="shared" ca="1" si="25"/>
        <v>47.629249999999999</v>
      </c>
      <c r="AE156">
        <f t="shared" ca="1" si="28"/>
        <v>8195</v>
      </c>
      <c r="AF156">
        <f t="shared" ca="1" si="29"/>
        <v>36.819499999999998</v>
      </c>
      <c r="AI156" s="10" t="s">
        <v>39</v>
      </c>
      <c r="AJ156" t="str">
        <f t="shared" si="30"/>
        <v>BMP-2  #155</v>
      </c>
      <c r="AL156" s="10">
        <f t="shared" ca="1" si="31"/>
        <v>920</v>
      </c>
      <c r="AM156" s="10">
        <f t="shared" ca="1" si="32"/>
        <v>47.792000000000002</v>
      </c>
    </row>
    <row r="157" spans="1:39" x14ac:dyDescent="0.25">
      <c r="A157" s="10">
        <v>156</v>
      </c>
      <c r="B157" s="10" t="s">
        <v>200</v>
      </c>
      <c r="C157" s="10" t="s">
        <v>15</v>
      </c>
      <c r="D157" s="10" t="s">
        <v>17</v>
      </c>
      <c r="E157" s="11">
        <v>36.611879999999999</v>
      </c>
      <c r="F157" s="11">
        <v>47.672849999999997</v>
      </c>
      <c r="G157" s="12">
        <v>3.0000000000000001E-3</v>
      </c>
      <c r="H157" s="13">
        <v>90</v>
      </c>
      <c r="I157" s="10">
        <v>60</v>
      </c>
      <c r="J157" s="10">
        <v>60</v>
      </c>
      <c r="K157" s="14">
        <v>1.5</v>
      </c>
      <c r="L157" s="10">
        <v>40</v>
      </c>
      <c r="M157" s="15">
        <v>0.7</v>
      </c>
      <c r="N157" s="10">
        <v>30</v>
      </c>
      <c r="O157" s="10">
        <v>7</v>
      </c>
      <c r="U157" s="20">
        <f t="shared" ca="1" si="26"/>
        <v>0.49</v>
      </c>
      <c r="V157" s="20">
        <f t="shared" ca="1" si="26"/>
        <v>0.88</v>
      </c>
      <c r="W157" s="20">
        <f t="shared" ca="1" si="26"/>
        <v>0.73</v>
      </c>
      <c r="X157">
        <f t="shared" ca="1" si="22"/>
        <v>36.76229</v>
      </c>
      <c r="Y157">
        <f t="shared" ca="1" si="23"/>
        <v>47.649340000000002</v>
      </c>
      <c r="Z157" s="19">
        <f t="shared" ca="1" si="27"/>
        <v>0.84</v>
      </c>
      <c r="AA157" s="19">
        <f t="shared" ca="1" si="27"/>
        <v>0.85</v>
      </c>
      <c r="AB157" s="19">
        <f t="shared" ca="1" si="27"/>
        <v>0.38</v>
      </c>
      <c r="AC157">
        <f t="shared" ca="1" si="24"/>
        <v>36.853259999999999</v>
      </c>
      <c r="AD157">
        <f t="shared" ca="1" si="25"/>
        <v>47.663609999999998</v>
      </c>
      <c r="AE157">
        <f t="shared" ca="1" si="28"/>
        <v>8528</v>
      </c>
      <c r="AF157">
        <f t="shared" ca="1" si="29"/>
        <v>36.852800000000002</v>
      </c>
      <c r="AI157" s="10" t="s">
        <v>39</v>
      </c>
      <c r="AJ157" t="str">
        <f t="shared" si="30"/>
        <v>BMP-2  #156</v>
      </c>
      <c r="AL157" s="10">
        <f t="shared" ca="1" si="31"/>
        <v>685</v>
      </c>
      <c r="AM157" s="10">
        <f t="shared" ca="1" si="32"/>
        <v>47.768500000000003</v>
      </c>
    </row>
    <row r="158" spans="1:39" x14ac:dyDescent="0.25">
      <c r="A158" s="10">
        <v>157</v>
      </c>
      <c r="B158" s="10" t="s">
        <v>201</v>
      </c>
      <c r="C158" s="10" t="s">
        <v>15</v>
      </c>
      <c r="D158" s="10" t="s">
        <v>17</v>
      </c>
      <c r="E158" s="11">
        <v>36.698500000000003</v>
      </c>
      <c r="F158" s="11">
        <v>47.52176</v>
      </c>
      <c r="G158" s="12">
        <v>3.5000000000000001E-3</v>
      </c>
      <c r="H158" s="13">
        <v>90</v>
      </c>
      <c r="I158" s="10">
        <v>50</v>
      </c>
      <c r="J158" s="10">
        <v>50</v>
      </c>
      <c r="K158" s="14">
        <v>1.2</v>
      </c>
      <c r="L158" s="10">
        <v>25</v>
      </c>
      <c r="M158" s="15">
        <v>0.65</v>
      </c>
      <c r="N158" s="10">
        <v>20</v>
      </c>
      <c r="O158" s="10">
        <v>8</v>
      </c>
      <c r="U158" s="20">
        <f t="shared" ca="1" si="26"/>
        <v>0.33</v>
      </c>
      <c r="V158" s="20">
        <f t="shared" ca="1" si="26"/>
        <v>0.86</v>
      </c>
      <c r="W158" s="20">
        <f t="shared" ca="1" si="26"/>
        <v>0</v>
      </c>
      <c r="X158">
        <f t="shared" ca="1" si="22"/>
        <v>36.507260000000002</v>
      </c>
      <c r="Y158">
        <f t="shared" ca="1" si="23"/>
        <v>47.607259999999997</v>
      </c>
      <c r="Z158" s="19">
        <f t="shared" ca="1" si="27"/>
        <v>0.37</v>
      </c>
      <c r="AA158" s="19">
        <f t="shared" ca="1" si="27"/>
        <v>0.21</v>
      </c>
      <c r="AB158" s="19">
        <f t="shared" ca="1" si="27"/>
        <v>0.48</v>
      </c>
      <c r="AC158">
        <f t="shared" ca="1" si="24"/>
        <v>36.818739999999998</v>
      </c>
      <c r="AD158">
        <f t="shared" ca="1" si="25"/>
        <v>47.610999999999997</v>
      </c>
      <c r="AE158">
        <f t="shared" ca="1" si="28"/>
        <v>9623</v>
      </c>
      <c r="AF158">
        <f t="shared" ca="1" si="29"/>
        <v>36.962299999999999</v>
      </c>
      <c r="AI158" s="10" t="s">
        <v>40</v>
      </c>
      <c r="AJ158" t="str">
        <f t="shared" si="30"/>
        <v>BTR-80  #157</v>
      </c>
      <c r="AL158" s="10">
        <f t="shared" ca="1" si="31"/>
        <v>428</v>
      </c>
      <c r="AM158" s="10">
        <f t="shared" ca="1" si="32"/>
        <v>47.742800000000003</v>
      </c>
    </row>
    <row r="159" spans="1:39" x14ac:dyDescent="0.25">
      <c r="A159" s="10">
        <v>158</v>
      </c>
      <c r="B159" s="10" t="s">
        <v>202</v>
      </c>
      <c r="C159" s="10" t="s">
        <v>15</v>
      </c>
      <c r="D159" s="10" t="s">
        <v>18</v>
      </c>
      <c r="E159" s="11">
        <v>36.721150000000002</v>
      </c>
      <c r="F159" s="11">
        <v>47.692509999999999</v>
      </c>
      <c r="G159" s="12">
        <v>1.5E-3</v>
      </c>
      <c r="H159" s="13">
        <v>90</v>
      </c>
      <c r="I159" s="10">
        <v>100</v>
      </c>
      <c r="J159" s="10">
        <v>100</v>
      </c>
      <c r="K159" s="14">
        <v>0.4</v>
      </c>
      <c r="L159" s="10">
        <v>15</v>
      </c>
      <c r="M159" s="15">
        <v>0.6</v>
      </c>
      <c r="N159" s="10">
        <v>5</v>
      </c>
      <c r="O159" s="10">
        <v>10</v>
      </c>
      <c r="U159" s="20">
        <f t="shared" ca="1" si="26"/>
        <v>1</v>
      </c>
      <c r="V159" s="20">
        <f t="shared" ca="1" si="26"/>
        <v>0.44</v>
      </c>
      <c r="W159" s="20">
        <f t="shared" ca="1" si="26"/>
        <v>0.26</v>
      </c>
      <c r="X159">
        <f t="shared" ca="1" si="22"/>
        <v>36.683579999999999</v>
      </c>
      <c r="Y159">
        <f t="shared" ca="1" si="23"/>
        <v>47.60183</v>
      </c>
      <c r="Z159" s="19">
        <f t="shared" ca="1" si="27"/>
        <v>0.47</v>
      </c>
      <c r="AA159" s="19">
        <f t="shared" ca="1" si="27"/>
        <v>0.2</v>
      </c>
      <c r="AB159" s="19">
        <f t="shared" ca="1" si="27"/>
        <v>0.21</v>
      </c>
      <c r="AC159">
        <f t="shared" ca="1" si="24"/>
        <v>36.807690000000001</v>
      </c>
      <c r="AD159">
        <f t="shared" ca="1" si="25"/>
        <v>47.62706</v>
      </c>
      <c r="AE159">
        <f t="shared" ca="1" si="28"/>
        <v>2745</v>
      </c>
      <c r="AF159">
        <f t="shared" ca="1" si="29"/>
        <v>36.274500000000003</v>
      </c>
      <c r="AI159" s="10" t="s">
        <v>41</v>
      </c>
      <c r="AJ159" t="str">
        <f t="shared" si="30"/>
        <v>Infantry Squad  #158</v>
      </c>
      <c r="AL159" s="10">
        <f t="shared" ca="1" si="31"/>
        <v>435</v>
      </c>
      <c r="AM159" s="10">
        <f t="shared" ca="1" si="32"/>
        <v>47.743500000000004</v>
      </c>
    </row>
    <row r="160" spans="1:39" x14ac:dyDescent="0.25">
      <c r="A160" s="10">
        <v>159</v>
      </c>
      <c r="B160" s="10" t="s">
        <v>203</v>
      </c>
      <c r="C160" s="10" t="s">
        <v>15</v>
      </c>
      <c r="D160" s="10" t="s">
        <v>18</v>
      </c>
      <c r="E160" s="11">
        <v>36.667810000000003</v>
      </c>
      <c r="F160" s="11">
        <v>47.589039999999997</v>
      </c>
      <c r="G160" s="12">
        <v>1.5E-3</v>
      </c>
      <c r="H160" s="13">
        <v>90</v>
      </c>
      <c r="I160" s="10">
        <v>100</v>
      </c>
      <c r="J160" s="10">
        <v>100</v>
      </c>
      <c r="K160" s="14">
        <v>0.4</v>
      </c>
      <c r="L160" s="10">
        <v>15</v>
      </c>
      <c r="M160" s="15">
        <v>0.6</v>
      </c>
      <c r="N160" s="10">
        <v>5</v>
      </c>
      <c r="O160" s="10">
        <v>10</v>
      </c>
      <c r="U160" s="20">
        <f t="shared" ca="1" si="26"/>
        <v>0.41</v>
      </c>
      <c r="V160" s="20">
        <f t="shared" ca="1" si="26"/>
        <v>0.45</v>
      </c>
      <c r="W160" s="20">
        <f t="shared" ca="1" si="26"/>
        <v>0.82</v>
      </c>
      <c r="X160">
        <f t="shared" ca="1" si="22"/>
        <v>36.64293</v>
      </c>
      <c r="Y160">
        <f t="shared" ca="1" si="23"/>
        <v>47.577910000000003</v>
      </c>
      <c r="Z160" s="19">
        <f t="shared" ca="1" si="27"/>
        <v>0.88</v>
      </c>
      <c r="AA160" s="19">
        <f t="shared" ca="1" si="27"/>
        <v>0.5</v>
      </c>
      <c r="AB160" s="19">
        <f t="shared" ca="1" si="27"/>
        <v>0.85</v>
      </c>
      <c r="AC160">
        <f t="shared" ca="1" si="24"/>
        <v>36.795960000000001</v>
      </c>
      <c r="AD160">
        <f t="shared" ca="1" si="25"/>
        <v>47.665410000000001</v>
      </c>
      <c r="AE160">
        <f t="shared" ca="1" si="28"/>
        <v>4478</v>
      </c>
      <c r="AF160">
        <f t="shared" ca="1" si="29"/>
        <v>36.447800000000001</v>
      </c>
      <c r="AI160" s="10" t="s">
        <v>41</v>
      </c>
      <c r="AJ160" t="str">
        <f t="shared" si="30"/>
        <v>Infantry Squad  #159</v>
      </c>
      <c r="AL160" s="10">
        <f t="shared" ca="1" si="31"/>
        <v>268</v>
      </c>
      <c r="AM160" s="10">
        <f t="shared" ca="1" si="32"/>
        <v>47.726800000000004</v>
      </c>
    </row>
    <row r="161" spans="1:39" x14ac:dyDescent="0.25">
      <c r="A161" s="10">
        <v>160</v>
      </c>
      <c r="B161" s="10" t="s">
        <v>204</v>
      </c>
      <c r="C161" s="10" t="s">
        <v>15</v>
      </c>
      <c r="D161" s="10" t="s">
        <v>18</v>
      </c>
      <c r="E161" s="11">
        <v>36.649500000000003</v>
      </c>
      <c r="F161" s="11">
        <v>47.569189999999999</v>
      </c>
      <c r="G161" s="12">
        <v>1.5E-3</v>
      </c>
      <c r="H161" s="13">
        <v>90</v>
      </c>
      <c r="I161" s="10">
        <v>100</v>
      </c>
      <c r="J161" s="10">
        <v>100</v>
      </c>
      <c r="K161" s="14">
        <v>0.4</v>
      </c>
      <c r="L161" s="10">
        <v>15</v>
      </c>
      <c r="M161" s="15">
        <v>0.6</v>
      </c>
      <c r="N161" s="10">
        <v>5</v>
      </c>
      <c r="O161" s="10">
        <v>10</v>
      </c>
      <c r="U161" s="20">
        <f t="shared" ca="1" si="26"/>
        <v>0.56999999999999995</v>
      </c>
      <c r="V161" s="20">
        <f t="shared" ca="1" si="26"/>
        <v>0.38</v>
      </c>
      <c r="W161" s="20">
        <f t="shared" ca="1" si="26"/>
        <v>0.87</v>
      </c>
      <c r="X161">
        <f t="shared" ref="X161:X213" ca="1" si="33">ROUND(IF(U161 &lt; $T$9,
 (1-SQRT(V161))*$T$3 + SQRT(V161)*(1-W161)*$T$4 + SQRT(V161)*W161*$T$5,
 (1-SQRT(V161))*$T$3 + SQRT(V161)*(1-W161)*$T$5 + SQRT(V161)*W161*$T$6
)/100,5)</f>
        <v>36.715269999999997</v>
      </c>
      <c r="Y161">
        <f t="shared" ref="Y161:Y213" ca="1" si="34">ROUND(IF(U161&lt;$T$9,(1-SQRT(V161))*$S$3+SQRT(V161)*(1-W161)*$S$4+SQRT(V161)*W161*$S$5,(1-SQRT(V161))*$S$3+SQRT(V161)*(1-W161)*$S$5+SQRT(V161)*W161*$S$6)/100,5)</f>
        <v>47.683970000000002</v>
      </c>
      <c r="Z161" s="19">
        <f t="shared" ca="1" si="27"/>
        <v>0.77</v>
      </c>
      <c r="AA161" s="19">
        <f t="shared" ca="1" si="27"/>
        <v>0.62</v>
      </c>
      <c r="AB161" s="19">
        <f t="shared" ca="1" si="27"/>
        <v>0.4</v>
      </c>
      <c r="AC161">
        <f t="shared" ref="AC161:AC213" ca="1" si="35">ROUND(IF(Z161 &lt; $T$18,
 (1-SQRT(AA161))*$T$12 + SQRT(AA161)*(1-AB161)*$T$13 + SQRT(AA161)*AB161*$T$14,
 (1-SQRT(AA161))*$T$12 + SQRT(AA161)*(1-AB161)*$T$14 + SQRT(AA161)*AB161*$T$15
)/100,5)</f>
        <v>36.83661</v>
      </c>
      <c r="AD161">
        <f t="shared" ref="AD161:AD213" ca="1" si="36">ROUND(IF(Z161&lt;$T$18,
(1-SQRT(AA161))*$S$12+SQRT(AA161)*(1-AB161)*$S$13+SQRT(AA161)*AB161*$S$14,
(1-SQRT(AA161))*$S$12+SQRT(AA161)*(1-AB161)*$S$14+SQRT(AA161)*AB161*$S$15)/100,5)</f>
        <v>47.655119999999997</v>
      </c>
      <c r="AE161">
        <f t="shared" ca="1" si="28"/>
        <v>6970</v>
      </c>
      <c r="AF161">
        <f t="shared" ca="1" si="29"/>
        <v>36.697000000000003</v>
      </c>
      <c r="AI161" s="10" t="s">
        <v>41</v>
      </c>
      <c r="AJ161" t="str">
        <f t="shared" si="30"/>
        <v>Infantry Squad  #160</v>
      </c>
      <c r="AL161" s="10">
        <f t="shared" ca="1" si="31"/>
        <v>236</v>
      </c>
      <c r="AM161" s="10">
        <f t="shared" ca="1" si="32"/>
        <v>47.723600000000005</v>
      </c>
    </row>
    <row r="162" spans="1:39" x14ac:dyDescent="0.25">
      <c r="A162" s="10">
        <v>161</v>
      </c>
      <c r="B162" s="10" t="s">
        <v>205</v>
      </c>
      <c r="C162" s="10" t="s">
        <v>15</v>
      </c>
      <c r="D162" s="10" t="s">
        <v>16</v>
      </c>
      <c r="E162" s="11">
        <v>36.774230000000003</v>
      </c>
      <c r="F162" s="11">
        <v>47.652479999999997</v>
      </c>
      <c r="G162" s="12">
        <v>2E-3</v>
      </c>
      <c r="H162" s="13">
        <v>90</v>
      </c>
      <c r="I162" s="10">
        <v>100</v>
      </c>
      <c r="J162" s="10">
        <v>100</v>
      </c>
      <c r="K162" s="14">
        <v>2.5</v>
      </c>
      <c r="L162" s="10">
        <v>80</v>
      </c>
      <c r="M162" s="15">
        <v>0.75</v>
      </c>
      <c r="N162" s="10">
        <v>80</v>
      </c>
      <c r="O162" s="10">
        <v>3</v>
      </c>
      <c r="U162" s="20">
        <f t="shared" ref="U162:W213" ca="1" si="37">RANDBETWEEN(0,100)/100</f>
        <v>0.09</v>
      </c>
      <c r="V162" s="20">
        <f t="shared" ca="1" si="37"/>
        <v>0.65</v>
      </c>
      <c r="W162" s="20">
        <f t="shared" ca="1" si="37"/>
        <v>0.41</v>
      </c>
      <c r="X162">
        <f t="shared" ca="1" si="33"/>
        <v>36.58549</v>
      </c>
      <c r="Y162">
        <f t="shared" ca="1" si="34"/>
        <v>47.586320000000001</v>
      </c>
      <c r="Z162" s="19">
        <f t="shared" ref="Z162:AB213" ca="1" si="38">RANDBETWEEN(0,100)/100</f>
        <v>0.8</v>
      </c>
      <c r="AA162" s="19">
        <f t="shared" ca="1" si="38"/>
        <v>0.43</v>
      </c>
      <c r="AB162" s="19">
        <f t="shared" ca="1" si="38"/>
        <v>0.71</v>
      </c>
      <c r="AC162">
        <f t="shared" ca="1" si="35"/>
        <v>36.8018</v>
      </c>
      <c r="AD162">
        <f t="shared" ca="1" si="36"/>
        <v>47.65607</v>
      </c>
      <c r="AE162">
        <f t="shared" ca="1" si="28"/>
        <v>6776</v>
      </c>
      <c r="AF162">
        <f t="shared" ca="1" si="29"/>
        <v>36.677599999999998</v>
      </c>
      <c r="AI162" s="10" t="s">
        <v>37</v>
      </c>
      <c r="AJ162" t="str">
        <f t="shared" si="30"/>
        <v>T-72B3 Tank  #161</v>
      </c>
      <c r="AL162" s="10">
        <f t="shared" ca="1" si="31"/>
        <v>475</v>
      </c>
      <c r="AM162" s="10">
        <f t="shared" ca="1" si="32"/>
        <v>47.747500000000002</v>
      </c>
    </row>
    <row r="163" spans="1:39" x14ac:dyDescent="0.25">
      <c r="A163" s="10">
        <v>162</v>
      </c>
      <c r="B163" s="10" t="s">
        <v>206</v>
      </c>
      <c r="C163" s="10" t="s">
        <v>15</v>
      </c>
      <c r="D163" s="10" t="s">
        <v>16</v>
      </c>
      <c r="E163" s="11">
        <v>36.702120000000001</v>
      </c>
      <c r="F163" s="11">
        <v>47.618589999999998</v>
      </c>
      <c r="G163" s="12">
        <v>2E-3</v>
      </c>
      <c r="H163" s="13">
        <v>90</v>
      </c>
      <c r="I163" s="10">
        <v>100</v>
      </c>
      <c r="J163" s="10">
        <v>100</v>
      </c>
      <c r="K163" s="14">
        <v>2.5</v>
      </c>
      <c r="L163" s="10">
        <v>80</v>
      </c>
      <c r="M163" s="15">
        <v>0.75</v>
      </c>
      <c r="N163" s="10">
        <v>80</v>
      </c>
      <c r="O163" s="10">
        <v>3</v>
      </c>
      <c r="U163" s="20">
        <f t="shared" ca="1" si="37"/>
        <v>0</v>
      </c>
      <c r="V163" s="20">
        <f t="shared" ca="1" si="37"/>
        <v>0.84</v>
      </c>
      <c r="W163" s="20">
        <f t="shared" ca="1" si="37"/>
        <v>0.74</v>
      </c>
      <c r="X163">
        <f t="shared" ca="1" si="33"/>
        <v>36.643990000000002</v>
      </c>
      <c r="Y163">
        <f t="shared" ca="1" si="34"/>
        <v>47.540529999999997</v>
      </c>
      <c r="Z163" s="19">
        <f t="shared" ca="1" si="38"/>
        <v>0.68</v>
      </c>
      <c r="AA163" s="19">
        <f t="shared" ca="1" si="38"/>
        <v>0.2</v>
      </c>
      <c r="AB163" s="19">
        <f t="shared" ca="1" si="38"/>
        <v>0.05</v>
      </c>
      <c r="AC163">
        <f t="shared" ca="1" si="35"/>
        <v>36.81485</v>
      </c>
      <c r="AD163">
        <f t="shared" ca="1" si="36"/>
        <v>47.623480000000001</v>
      </c>
      <c r="AE163">
        <f t="shared" ca="1" si="28"/>
        <v>5785</v>
      </c>
      <c r="AF163">
        <f t="shared" ca="1" si="29"/>
        <v>36.578499999999998</v>
      </c>
      <c r="AI163" s="10" t="s">
        <v>37</v>
      </c>
      <c r="AJ163" t="str">
        <f t="shared" si="30"/>
        <v>T-72B3 Tank  #162</v>
      </c>
      <c r="AL163" s="10">
        <f t="shared" ca="1" si="31"/>
        <v>495</v>
      </c>
      <c r="AM163" s="10">
        <f t="shared" ca="1" si="32"/>
        <v>47.749500000000005</v>
      </c>
    </row>
    <row r="164" spans="1:39" x14ac:dyDescent="0.25">
      <c r="A164" s="10">
        <v>163</v>
      </c>
      <c r="B164" s="10" t="s">
        <v>207</v>
      </c>
      <c r="C164" s="10" t="s">
        <v>15</v>
      </c>
      <c r="D164" s="10" t="s">
        <v>16</v>
      </c>
      <c r="E164" s="11">
        <v>36.615009999999998</v>
      </c>
      <c r="F164" s="11">
        <v>47.551780000000001</v>
      </c>
      <c r="G164" s="12">
        <v>2.5000000000000001E-3</v>
      </c>
      <c r="H164" s="13">
        <v>90</v>
      </c>
      <c r="I164" s="10">
        <v>110</v>
      </c>
      <c r="J164" s="10">
        <v>110</v>
      </c>
      <c r="K164" s="14">
        <v>2.8</v>
      </c>
      <c r="L164" s="10">
        <v>85</v>
      </c>
      <c r="M164" s="15">
        <v>0.78</v>
      </c>
      <c r="N164" s="10">
        <v>85</v>
      </c>
      <c r="O164" s="10">
        <v>3</v>
      </c>
      <c r="U164" s="20">
        <f t="shared" ca="1" si="37"/>
        <v>0.47</v>
      </c>
      <c r="V164" s="20">
        <f t="shared" ca="1" si="37"/>
        <v>0.8</v>
      </c>
      <c r="W164" s="20">
        <f t="shared" ca="1" si="37"/>
        <v>0.92</v>
      </c>
      <c r="X164">
        <f t="shared" ca="1" si="33"/>
        <v>36.771729999999998</v>
      </c>
      <c r="Y164">
        <f t="shared" ca="1" si="34"/>
        <v>47.685690000000001</v>
      </c>
      <c r="Z164" s="19">
        <f t="shared" ca="1" si="38"/>
        <v>0.78</v>
      </c>
      <c r="AA164" s="19">
        <f t="shared" ca="1" si="38"/>
        <v>0.36</v>
      </c>
      <c r="AB164" s="19">
        <f t="shared" ca="1" si="38"/>
        <v>0.63</v>
      </c>
      <c r="AC164">
        <f t="shared" ca="1" si="35"/>
        <v>36.802199999999999</v>
      </c>
      <c r="AD164">
        <f t="shared" ca="1" si="36"/>
        <v>47.648899999999998</v>
      </c>
      <c r="AE164">
        <f t="shared" ca="1" si="28"/>
        <v>1223</v>
      </c>
      <c r="AF164">
        <f t="shared" ca="1" si="29"/>
        <v>36.122300000000003</v>
      </c>
      <c r="AI164" s="10" t="s">
        <v>38</v>
      </c>
      <c r="AJ164" t="str">
        <f t="shared" si="30"/>
        <v>T-80BVM Tank  #163</v>
      </c>
      <c r="AL164" s="10">
        <f t="shared" ca="1" si="31"/>
        <v>263</v>
      </c>
      <c r="AM164" s="10">
        <f t="shared" ca="1" si="32"/>
        <v>47.726300000000002</v>
      </c>
    </row>
    <row r="165" spans="1:39" x14ac:dyDescent="0.25">
      <c r="A165" s="10">
        <v>164</v>
      </c>
      <c r="B165" s="10" t="s">
        <v>208</v>
      </c>
      <c r="C165" s="10" t="s">
        <v>15</v>
      </c>
      <c r="D165" s="10" t="s">
        <v>16</v>
      </c>
      <c r="E165" s="11">
        <v>36.702829999999999</v>
      </c>
      <c r="F165" s="11">
        <v>47.528300000000002</v>
      </c>
      <c r="G165" s="12">
        <v>2E-3</v>
      </c>
      <c r="H165" s="13">
        <v>90</v>
      </c>
      <c r="I165" s="10">
        <v>100</v>
      </c>
      <c r="J165" s="10">
        <v>100</v>
      </c>
      <c r="K165" s="14">
        <v>2.5</v>
      </c>
      <c r="L165" s="10">
        <v>80</v>
      </c>
      <c r="M165" s="15">
        <v>0.75</v>
      </c>
      <c r="N165" s="10">
        <v>80</v>
      </c>
      <c r="O165" s="10">
        <v>3</v>
      </c>
      <c r="U165" s="20">
        <f t="shared" ca="1" si="37"/>
        <v>0.65</v>
      </c>
      <c r="V165" s="20">
        <f t="shared" ca="1" si="37"/>
        <v>0.33</v>
      </c>
      <c r="W165" s="20">
        <f t="shared" ca="1" si="37"/>
        <v>0.42</v>
      </c>
      <c r="X165">
        <f t="shared" ca="1" si="33"/>
        <v>36.681570000000001</v>
      </c>
      <c r="Y165">
        <f t="shared" ca="1" si="34"/>
        <v>47.633360000000003</v>
      </c>
      <c r="Z165" s="19">
        <f t="shared" ca="1" si="38"/>
        <v>0.63</v>
      </c>
      <c r="AA165" s="19">
        <f t="shared" ca="1" si="38"/>
        <v>0.23</v>
      </c>
      <c r="AB165" s="19">
        <f t="shared" ca="1" si="38"/>
        <v>0.28000000000000003</v>
      </c>
      <c r="AC165">
        <f t="shared" ca="1" si="35"/>
        <v>36.808509999999998</v>
      </c>
      <c r="AD165">
        <f t="shared" ca="1" si="36"/>
        <v>47.630690000000001</v>
      </c>
      <c r="AE165">
        <f t="shared" ca="1" si="28"/>
        <v>9205</v>
      </c>
      <c r="AF165">
        <f t="shared" ca="1" si="29"/>
        <v>36.920499999999997</v>
      </c>
      <c r="AI165" s="10" t="s">
        <v>37</v>
      </c>
      <c r="AJ165" t="str">
        <f t="shared" si="30"/>
        <v>T-72B3 Tank  #164</v>
      </c>
      <c r="AL165" s="10">
        <f t="shared" ca="1" si="31"/>
        <v>462</v>
      </c>
      <c r="AM165" s="10">
        <f t="shared" ca="1" si="32"/>
        <v>47.746200000000002</v>
      </c>
    </row>
    <row r="166" spans="1:39" x14ac:dyDescent="0.25">
      <c r="A166" s="10">
        <v>165</v>
      </c>
      <c r="B166" s="10" t="s">
        <v>209</v>
      </c>
      <c r="C166" s="10" t="s">
        <v>15</v>
      </c>
      <c r="D166" s="10" t="s">
        <v>16</v>
      </c>
      <c r="E166" s="11">
        <v>36.626829999999998</v>
      </c>
      <c r="F166" s="11">
        <v>47.552419999999998</v>
      </c>
      <c r="G166" s="12">
        <v>2.5000000000000001E-3</v>
      </c>
      <c r="H166" s="13">
        <v>90</v>
      </c>
      <c r="I166" s="10">
        <v>110</v>
      </c>
      <c r="J166" s="10">
        <v>110</v>
      </c>
      <c r="K166" s="14">
        <v>2.8</v>
      </c>
      <c r="L166" s="10">
        <v>85</v>
      </c>
      <c r="M166" s="15">
        <v>0.78</v>
      </c>
      <c r="N166" s="10">
        <v>85</v>
      </c>
      <c r="O166" s="10">
        <v>3</v>
      </c>
      <c r="U166" s="20">
        <f t="shared" ca="1" si="37"/>
        <v>0.05</v>
      </c>
      <c r="V166" s="20">
        <f t="shared" ca="1" si="37"/>
        <v>0.56000000000000005</v>
      </c>
      <c r="W166" s="20">
        <f t="shared" ca="1" si="37"/>
        <v>0.68</v>
      </c>
      <c r="X166">
        <f t="shared" ca="1" si="33"/>
        <v>36.626939999999998</v>
      </c>
      <c r="Y166">
        <f t="shared" ca="1" si="34"/>
        <v>47.574280000000002</v>
      </c>
      <c r="Z166" s="19">
        <f t="shared" ca="1" si="38"/>
        <v>0.96</v>
      </c>
      <c r="AA166" s="19">
        <f t="shared" ca="1" si="38"/>
        <v>0.56000000000000005</v>
      </c>
      <c r="AB166" s="19">
        <f t="shared" ca="1" si="38"/>
        <v>0.28999999999999998</v>
      </c>
      <c r="AC166">
        <f t="shared" ca="1" si="35"/>
        <v>36.84055</v>
      </c>
      <c r="AD166">
        <f t="shared" ca="1" si="36"/>
        <v>47.648269999999997</v>
      </c>
      <c r="AE166">
        <f t="shared" ca="1" si="28"/>
        <v>5727</v>
      </c>
      <c r="AF166">
        <f t="shared" ca="1" si="29"/>
        <v>36.572699999999998</v>
      </c>
      <c r="AI166" s="10" t="s">
        <v>38</v>
      </c>
      <c r="AJ166" t="str">
        <f t="shared" si="30"/>
        <v>T-80BVM Tank  #165</v>
      </c>
      <c r="AL166" s="10">
        <f t="shared" ca="1" si="31"/>
        <v>410</v>
      </c>
      <c r="AM166" s="10">
        <f t="shared" ca="1" si="32"/>
        <v>47.741</v>
      </c>
    </row>
    <row r="167" spans="1:39" x14ac:dyDescent="0.25">
      <c r="A167" s="10">
        <v>166</v>
      </c>
      <c r="B167" s="10" t="s">
        <v>210</v>
      </c>
      <c r="C167" s="10" t="s">
        <v>15</v>
      </c>
      <c r="D167" s="10" t="s">
        <v>17</v>
      </c>
      <c r="E167" s="11">
        <v>36.615270000000002</v>
      </c>
      <c r="F167" s="11">
        <v>47.628720000000001</v>
      </c>
      <c r="G167" s="12">
        <v>3.0000000000000001E-3</v>
      </c>
      <c r="H167" s="13">
        <v>90</v>
      </c>
      <c r="I167" s="10">
        <v>60</v>
      </c>
      <c r="J167" s="10">
        <v>60</v>
      </c>
      <c r="K167" s="14">
        <v>1.5</v>
      </c>
      <c r="L167" s="10">
        <v>40</v>
      </c>
      <c r="M167" s="15">
        <v>0.7</v>
      </c>
      <c r="N167" s="10">
        <v>30</v>
      </c>
      <c r="O167" s="10">
        <v>7</v>
      </c>
      <c r="U167" s="20">
        <f t="shared" ca="1" si="37"/>
        <v>0.91</v>
      </c>
      <c r="V167" s="20">
        <f t="shared" ca="1" si="37"/>
        <v>0.8</v>
      </c>
      <c r="W167" s="20">
        <f t="shared" ca="1" si="37"/>
        <v>0.16</v>
      </c>
      <c r="X167">
        <f t="shared" ca="1" si="33"/>
        <v>36.703749999999999</v>
      </c>
      <c r="Y167">
        <f t="shared" ca="1" si="34"/>
        <v>47.54974</v>
      </c>
      <c r="Z167" s="19">
        <f t="shared" ca="1" si="38"/>
        <v>0.45</v>
      </c>
      <c r="AA167" s="19">
        <f t="shared" ca="1" si="38"/>
        <v>0.35</v>
      </c>
      <c r="AB167" s="19">
        <f t="shared" ca="1" si="38"/>
        <v>0.56999999999999995</v>
      </c>
      <c r="AC167">
        <f t="shared" ca="1" si="35"/>
        <v>36.805019999999999</v>
      </c>
      <c r="AD167">
        <f t="shared" ca="1" si="36"/>
        <v>47.646439999999998</v>
      </c>
      <c r="AE167">
        <f t="shared" ca="1" si="28"/>
        <v>6194</v>
      </c>
      <c r="AF167">
        <f t="shared" ca="1" si="29"/>
        <v>36.619399999999999</v>
      </c>
      <c r="AI167" s="10" t="s">
        <v>39</v>
      </c>
      <c r="AJ167" t="str">
        <f t="shared" si="30"/>
        <v>BMP-2  #166</v>
      </c>
      <c r="AL167" s="10">
        <f t="shared" ca="1" si="31"/>
        <v>472</v>
      </c>
      <c r="AM167" s="10">
        <f t="shared" ca="1" si="32"/>
        <v>47.747199999999999</v>
      </c>
    </row>
    <row r="168" spans="1:39" x14ac:dyDescent="0.25">
      <c r="A168" s="10">
        <v>167</v>
      </c>
      <c r="B168" s="10" t="s">
        <v>211</v>
      </c>
      <c r="C168" s="10" t="s">
        <v>15</v>
      </c>
      <c r="D168" s="10" t="s">
        <v>17</v>
      </c>
      <c r="E168" s="11">
        <v>36.573700000000002</v>
      </c>
      <c r="F168" s="11">
        <v>47.649509999999999</v>
      </c>
      <c r="G168" s="12">
        <v>3.0000000000000001E-3</v>
      </c>
      <c r="H168" s="13">
        <v>90</v>
      </c>
      <c r="I168" s="10">
        <v>60</v>
      </c>
      <c r="J168" s="10">
        <v>60</v>
      </c>
      <c r="K168" s="14">
        <v>1.5</v>
      </c>
      <c r="L168" s="10">
        <v>40</v>
      </c>
      <c r="M168" s="15">
        <v>0.7</v>
      </c>
      <c r="N168" s="10">
        <v>30</v>
      </c>
      <c r="O168" s="10">
        <v>7</v>
      </c>
      <c r="U168" s="20">
        <f t="shared" ca="1" si="37"/>
        <v>0.71</v>
      </c>
      <c r="V168" s="20">
        <f t="shared" ca="1" si="37"/>
        <v>0.43</v>
      </c>
      <c r="W168" s="20">
        <f t="shared" ca="1" si="37"/>
        <v>0.99</v>
      </c>
      <c r="X168">
        <f t="shared" ca="1" si="33"/>
        <v>36.730490000000003</v>
      </c>
      <c r="Y168">
        <f t="shared" ca="1" si="34"/>
        <v>47.698689999999999</v>
      </c>
      <c r="Z168" s="19">
        <f t="shared" ca="1" si="38"/>
        <v>0.09</v>
      </c>
      <c r="AA168" s="19">
        <f t="shared" ca="1" si="38"/>
        <v>0.51</v>
      </c>
      <c r="AB168" s="19">
        <f t="shared" ca="1" si="38"/>
        <v>0.03</v>
      </c>
      <c r="AC168">
        <f t="shared" ca="1" si="35"/>
        <v>36.857120000000002</v>
      </c>
      <c r="AD168">
        <f t="shared" ca="1" si="36"/>
        <v>47.60107</v>
      </c>
      <c r="AE168">
        <f t="shared" ca="1" si="28"/>
        <v>1008</v>
      </c>
      <c r="AF168">
        <f t="shared" ca="1" si="29"/>
        <v>36.1008</v>
      </c>
      <c r="AI168" s="10" t="s">
        <v>39</v>
      </c>
      <c r="AJ168" t="str">
        <f t="shared" si="30"/>
        <v>BMP-2  #167</v>
      </c>
      <c r="AL168" s="10">
        <f t="shared" ca="1" si="31"/>
        <v>626</v>
      </c>
      <c r="AM168" s="10">
        <f t="shared" ca="1" si="32"/>
        <v>47.762600000000006</v>
      </c>
    </row>
    <row r="169" spans="1:39" x14ac:dyDescent="0.25">
      <c r="A169" s="10">
        <v>168</v>
      </c>
      <c r="B169" s="10" t="s">
        <v>212</v>
      </c>
      <c r="C169" s="10" t="s">
        <v>15</v>
      </c>
      <c r="D169" s="10" t="s">
        <v>17</v>
      </c>
      <c r="E169" s="11">
        <v>36.726709999999997</v>
      </c>
      <c r="F169" s="11">
        <v>47.557450000000003</v>
      </c>
      <c r="G169" s="12">
        <v>3.5000000000000001E-3</v>
      </c>
      <c r="H169" s="13">
        <v>90</v>
      </c>
      <c r="I169" s="10">
        <v>50</v>
      </c>
      <c r="J169" s="10">
        <v>50</v>
      </c>
      <c r="K169" s="14">
        <v>1.2</v>
      </c>
      <c r="L169" s="10">
        <v>25</v>
      </c>
      <c r="M169" s="15">
        <v>0.65</v>
      </c>
      <c r="N169" s="10">
        <v>20</v>
      </c>
      <c r="O169" s="10">
        <v>8</v>
      </c>
      <c r="U169" s="20">
        <f t="shared" ca="1" si="37"/>
        <v>0.73</v>
      </c>
      <c r="V169" s="20">
        <f t="shared" ca="1" si="37"/>
        <v>0.39</v>
      </c>
      <c r="W169" s="20">
        <f t="shared" ca="1" si="37"/>
        <v>0.4</v>
      </c>
      <c r="X169">
        <f t="shared" ca="1" si="33"/>
        <v>36.687429999999999</v>
      </c>
      <c r="Y169">
        <f t="shared" ca="1" si="34"/>
        <v>47.625059999999998</v>
      </c>
      <c r="Z169" s="19">
        <f t="shared" ca="1" si="38"/>
        <v>0.93</v>
      </c>
      <c r="AA169" s="19">
        <f t="shared" ca="1" si="38"/>
        <v>0.35</v>
      </c>
      <c r="AB169" s="19">
        <f t="shared" ca="1" si="38"/>
        <v>0.61</v>
      </c>
      <c r="AC169">
        <f t="shared" ca="1" si="35"/>
        <v>36.80265</v>
      </c>
      <c r="AD169">
        <f t="shared" ca="1" si="36"/>
        <v>47.647620000000003</v>
      </c>
      <c r="AE169">
        <f t="shared" ca="1" si="28"/>
        <v>5728</v>
      </c>
      <c r="AF169">
        <f t="shared" ca="1" si="29"/>
        <v>36.572800000000001</v>
      </c>
      <c r="AI169" s="10" t="s">
        <v>40</v>
      </c>
      <c r="AJ169" t="str">
        <f t="shared" si="30"/>
        <v>BTR-80  #168</v>
      </c>
      <c r="AL169" s="10">
        <f t="shared" ca="1" si="31"/>
        <v>682</v>
      </c>
      <c r="AM169" s="10">
        <f t="shared" ca="1" si="32"/>
        <v>47.7682</v>
      </c>
    </row>
    <row r="170" spans="1:39" x14ac:dyDescent="0.25">
      <c r="A170" s="10">
        <v>169</v>
      </c>
      <c r="B170" s="10" t="s">
        <v>213</v>
      </c>
      <c r="C170" s="10" t="s">
        <v>15</v>
      </c>
      <c r="D170" s="10" t="s">
        <v>17</v>
      </c>
      <c r="E170" s="11">
        <v>36.676160000000003</v>
      </c>
      <c r="F170" s="11">
        <v>47.54768</v>
      </c>
      <c r="G170" s="12">
        <v>3.0000000000000001E-3</v>
      </c>
      <c r="H170" s="13">
        <v>90</v>
      </c>
      <c r="I170" s="10">
        <v>60</v>
      </c>
      <c r="J170" s="10">
        <v>60</v>
      </c>
      <c r="K170" s="14">
        <v>1.5</v>
      </c>
      <c r="L170" s="10">
        <v>40</v>
      </c>
      <c r="M170" s="15">
        <v>0.7</v>
      </c>
      <c r="N170" s="10">
        <v>30</v>
      </c>
      <c r="O170" s="10">
        <v>7</v>
      </c>
      <c r="U170" s="20">
        <f t="shared" ca="1" si="37"/>
        <v>0.21</v>
      </c>
      <c r="V170" s="20">
        <f t="shared" ca="1" si="37"/>
        <v>0.1</v>
      </c>
      <c r="W170" s="20">
        <f t="shared" ca="1" si="37"/>
        <v>0.97</v>
      </c>
      <c r="X170">
        <f t="shared" ca="1" si="33"/>
        <v>36.629730000000002</v>
      </c>
      <c r="Y170">
        <f t="shared" ca="1" si="34"/>
        <v>47.637700000000002</v>
      </c>
      <c r="Z170" s="19">
        <f t="shared" ca="1" si="38"/>
        <v>0.23</v>
      </c>
      <c r="AA170" s="19">
        <f t="shared" ca="1" si="38"/>
        <v>0.84</v>
      </c>
      <c r="AB170" s="19">
        <f t="shared" ca="1" si="38"/>
        <v>0.62</v>
      </c>
      <c r="AC170">
        <f t="shared" ca="1" si="35"/>
        <v>36.887479999999996</v>
      </c>
      <c r="AD170">
        <f t="shared" ca="1" si="36"/>
        <v>47.628410000000002</v>
      </c>
      <c r="AE170">
        <f t="shared" ca="1" si="28"/>
        <v>831</v>
      </c>
      <c r="AF170">
        <f t="shared" ca="1" si="29"/>
        <v>36.083100000000002</v>
      </c>
      <c r="AI170" s="10" t="s">
        <v>39</v>
      </c>
      <c r="AJ170" t="str">
        <f t="shared" si="30"/>
        <v>BMP-2  #169</v>
      </c>
      <c r="AL170" s="10">
        <f t="shared" ca="1" si="31"/>
        <v>873</v>
      </c>
      <c r="AM170" s="10">
        <f t="shared" ca="1" si="32"/>
        <v>47.787300000000002</v>
      </c>
    </row>
    <row r="171" spans="1:39" x14ac:dyDescent="0.25">
      <c r="A171" s="10">
        <v>170</v>
      </c>
      <c r="B171" s="10" t="s">
        <v>214</v>
      </c>
      <c r="C171" s="10" t="s">
        <v>15</v>
      </c>
      <c r="D171" s="10" t="s">
        <v>17</v>
      </c>
      <c r="E171" s="11">
        <v>36.617910000000002</v>
      </c>
      <c r="F171" s="11">
        <v>47.541800000000002</v>
      </c>
      <c r="G171" s="12">
        <v>3.0000000000000001E-3</v>
      </c>
      <c r="H171" s="13">
        <v>90</v>
      </c>
      <c r="I171" s="10">
        <v>60</v>
      </c>
      <c r="J171" s="10">
        <v>60</v>
      </c>
      <c r="K171" s="14">
        <v>1.5</v>
      </c>
      <c r="L171" s="10">
        <v>40</v>
      </c>
      <c r="M171" s="15">
        <v>0.7</v>
      </c>
      <c r="N171" s="10">
        <v>30</v>
      </c>
      <c r="O171" s="10">
        <v>7</v>
      </c>
      <c r="U171" s="20">
        <f t="shared" ca="1" si="37"/>
        <v>0.55000000000000004</v>
      </c>
      <c r="V171" s="20">
        <f t="shared" ca="1" si="37"/>
        <v>0.15</v>
      </c>
      <c r="W171" s="20">
        <f t="shared" ca="1" si="37"/>
        <v>0.54</v>
      </c>
      <c r="X171">
        <f t="shared" ca="1" si="33"/>
        <v>36.659640000000003</v>
      </c>
      <c r="Y171">
        <f t="shared" ca="1" si="34"/>
        <v>47.664369999999998</v>
      </c>
      <c r="Z171" s="19">
        <f t="shared" ca="1" si="38"/>
        <v>0.41</v>
      </c>
      <c r="AA171" s="19">
        <f t="shared" ca="1" si="38"/>
        <v>0.56000000000000005</v>
      </c>
      <c r="AB171" s="19">
        <f t="shared" ca="1" si="38"/>
        <v>0.68</v>
      </c>
      <c r="AC171">
        <f t="shared" ca="1" si="35"/>
        <v>36.811360000000001</v>
      </c>
      <c r="AD171">
        <f t="shared" ca="1" si="36"/>
        <v>47.662860000000002</v>
      </c>
      <c r="AE171">
        <f t="shared" ca="1" si="28"/>
        <v>7827</v>
      </c>
      <c r="AF171">
        <f t="shared" ca="1" si="29"/>
        <v>36.782699999999998</v>
      </c>
      <c r="AI171" s="10" t="s">
        <v>39</v>
      </c>
      <c r="AJ171" t="str">
        <f t="shared" si="30"/>
        <v>BMP-2  #170</v>
      </c>
      <c r="AL171" s="10">
        <f t="shared" ca="1" si="31"/>
        <v>826</v>
      </c>
      <c r="AM171" s="10">
        <f t="shared" ca="1" si="32"/>
        <v>47.782600000000002</v>
      </c>
    </row>
    <row r="172" spans="1:39" x14ac:dyDescent="0.25">
      <c r="A172" s="10">
        <v>171</v>
      </c>
      <c r="B172" s="10" t="s">
        <v>215</v>
      </c>
      <c r="C172" s="10" t="s">
        <v>15</v>
      </c>
      <c r="D172" s="10" t="s">
        <v>17</v>
      </c>
      <c r="E172" s="11">
        <v>36.591000000000001</v>
      </c>
      <c r="F172" s="11">
        <v>47.569499999999998</v>
      </c>
      <c r="G172" s="12">
        <v>3.5000000000000001E-3</v>
      </c>
      <c r="H172" s="13">
        <v>90</v>
      </c>
      <c r="I172" s="10">
        <v>50</v>
      </c>
      <c r="J172" s="10">
        <v>50</v>
      </c>
      <c r="K172" s="14">
        <v>1.2</v>
      </c>
      <c r="L172" s="10">
        <v>25</v>
      </c>
      <c r="M172" s="15">
        <v>0.65</v>
      </c>
      <c r="N172" s="10">
        <v>20</v>
      </c>
      <c r="O172" s="10">
        <v>8</v>
      </c>
      <c r="U172" s="20">
        <f t="shared" ca="1" si="37"/>
        <v>0.13</v>
      </c>
      <c r="V172" s="20">
        <f t="shared" ca="1" si="37"/>
        <v>0.26</v>
      </c>
      <c r="W172" s="20">
        <f t="shared" ca="1" si="37"/>
        <v>0.15</v>
      </c>
      <c r="X172">
        <f t="shared" ca="1" si="33"/>
        <v>36.564309999999999</v>
      </c>
      <c r="Y172">
        <f t="shared" ca="1" si="34"/>
        <v>47.641359999999999</v>
      </c>
      <c r="Z172" s="19">
        <f t="shared" ca="1" si="38"/>
        <v>0.22</v>
      </c>
      <c r="AA172" s="19">
        <f t="shared" ca="1" si="38"/>
        <v>0.82</v>
      </c>
      <c r="AB172" s="19">
        <f t="shared" ca="1" si="38"/>
        <v>0.41</v>
      </c>
      <c r="AC172">
        <f t="shared" ca="1" si="35"/>
        <v>36.885829999999999</v>
      </c>
      <c r="AD172">
        <f t="shared" ca="1" si="36"/>
        <v>47.618560000000002</v>
      </c>
      <c r="AE172">
        <f t="shared" ca="1" si="28"/>
        <v>401</v>
      </c>
      <c r="AF172">
        <f t="shared" ca="1" si="29"/>
        <v>36.040100000000002</v>
      </c>
      <c r="AI172" s="10" t="s">
        <v>40</v>
      </c>
      <c r="AJ172" t="str">
        <f t="shared" si="30"/>
        <v>BTR-80  #171</v>
      </c>
      <c r="AL172" s="10">
        <f t="shared" ca="1" si="31"/>
        <v>661</v>
      </c>
      <c r="AM172" s="10">
        <f t="shared" ca="1" si="32"/>
        <v>47.766100000000002</v>
      </c>
    </row>
    <row r="173" spans="1:39" x14ac:dyDescent="0.25">
      <c r="A173" s="10">
        <v>172</v>
      </c>
      <c r="B173" s="10" t="s">
        <v>216</v>
      </c>
      <c r="C173" s="10" t="s">
        <v>15</v>
      </c>
      <c r="D173" s="10" t="s">
        <v>17</v>
      </c>
      <c r="E173" s="11">
        <v>36.668849999999999</v>
      </c>
      <c r="F173" s="11">
        <v>47.688029999999998</v>
      </c>
      <c r="G173" s="12">
        <v>3.0000000000000001E-3</v>
      </c>
      <c r="H173" s="13">
        <v>90</v>
      </c>
      <c r="I173" s="10">
        <v>60</v>
      </c>
      <c r="J173" s="10">
        <v>60</v>
      </c>
      <c r="K173" s="14">
        <v>1.5</v>
      </c>
      <c r="L173" s="10">
        <v>40</v>
      </c>
      <c r="M173" s="15">
        <v>0.7</v>
      </c>
      <c r="N173" s="10">
        <v>30</v>
      </c>
      <c r="O173" s="10">
        <v>7</v>
      </c>
      <c r="U173" s="20">
        <f t="shared" ca="1" si="37"/>
        <v>0.89</v>
      </c>
      <c r="V173" s="20">
        <f t="shared" ca="1" si="37"/>
        <v>0.64</v>
      </c>
      <c r="W173" s="20">
        <f t="shared" ca="1" si="37"/>
        <v>0.97</v>
      </c>
      <c r="X173">
        <f t="shared" ca="1" si="33"/>
        <v>36.757599999999996</v>
      </c>
      <c r="Y173">
        <f t="shared" ca="1" si="34"/>
        <v>47.6952</v>
      </c>
      <c r="Z173" s="19">
        <f t="shared" ca="1" si="38"/>
        <v>0.72</v>
      </c>
      <c r="AA173" s="19">
        <f t="shared" ca="1" si="38"/>
        <v>0.81</v>
      </c>
      <c r="AB173" s="19">
        <f t="shared" ca="1" si="38"/>
        <v>0.91</v>
      </c>
      <c r="AC173">
        <f t="shared" ca="1" si="35"/>
        <v>36.803100000000001</v>
      </c>
      <c r="AD173">
        <f t="shared" ca="1" si="36"/>
        <v>47.685949999999998</v>
      </c>
      <c r="AE173">
        <f t="shared" ca="1" si="28"/>
        <v>51</v>
      </c>
      <c r="AF173">
        <f t="shared" ca="1" si="29"/>
        <v>36.005099999999999</v>
      </c>
      <c r="AI173" s="10" t="s">
        <v>39</v>
      </c>
      <c r="AJ173" t="str">
        <f t="shared" si="30"/>
        <v>BMP-2  #172</v>
      </c>
      <c r="AL173" s="10">
        <f t="shared" ca="1" si="31"/>
        <v>679</v>
      </c>
      <c r="AM173" s="10">
        <f t="shared" ca="1" si="32"/>
        <v>47.767900000000004</v>
      </c>
    </row>
    <row r="174" spans="1:39" x14ac:dyDescent="0.25">
      <c r="A174" s="10">
        <v>173</v>
      </c>
      <c r="B174" s="10" t="s">
        <v>217</v>
      </c>
      <c r="C174" s="10" t="s">
        <v>15</v>
      </c>
      <c r="D174" s="10" t="s">
        <v>17</v>
      </c>
      <c r="E174" s="11">
        <v>36.585059999999999</v>
      </c>
      <c r="F174" s="11">
        <v>47.621299999999998</v>
      </c>
      <c r="G174" s="12">
        <v>3.0000000000000001E-3</v>
      </c>
      <c r="H174" s="13">
        <v>90</v>
      </c>
      <c r="I174" s="10">
        <v>60</v>
      </c>
      <c r="J174" s="10">
        <v>60</v>
      </c>
      <c r="K174" s="14">
        <v>1.5</v>
      </c>
      <c r="L174" s="10">
        <v>40</v>
      </c>
      <c r="M174" s="15">
        <v>0.7</v>
      </c>
      <c r="N174" s="10">
        <v>30</v>
      </c>
      <c r="O174" s="10">
        <v>7</v>
      </c>
      <c r="U174" s="20">
        <f t="shared" ca="1" si="37"/>
        <v>0.72</v>
      </c>
      <c r="V174" s="20">
        <f t="shared" ca="1" si="37"/>
        <v>0.8</v>
      </c>
      <c r="W174" s="20">
        <f t="shared" ca="1" si="37"/>
        <v>0.52</v>
      </c>
      <c r="X174">
        <f t="shared" ca="1" si="33"/>
        <v>36.735950000000003</v>
      </c>
      <c r="Y174">
        <f t="shared" ca="1" si="34"/>
        <v>47.614130000000003</v>
      </c>
      <c r="Z174" s="19">
        <f t="shared" ca="1" si="38"/>
        <v>0.62</v>
      </c>
      <c r="AA174" s="19">
        <f t="shared" ca="1" si="38"/>
        <v>0.44</v>
      </c>
      <c r="AB174" s="19">
        <f t="shared" ca="1" si="38"/>
        <v>0.18</v>
      </c>
      <c r="AC174">
        <f t="shared" ca="1" si="35"/>
        <v>36.837560000000003</v>
      </c>
      <c r="AD174">
        <f t="shared" ca="1" si="36"/>
        <v>47.639139999999998</v>
      </c>
      <c r="AE174">
        <f t="shared" ca="1" si="28"/>
        <v>6427</v>
      </c>
      <c r="AF174">
        <f t="shared" ca="1" si="29"/>
        <v>36.642699999999998</v>
      </c>
      <c r="AI174" s="10" t="s">
        <v>39</v>
      </c>
      <c r="AJ174" t="str">
        <f t="shared" si="30"/>
        <v>BMP-2  #173</v>
      </c>
      <c r="AL174" s="10">
        <f t="shared" ca="1" si="31"/>
        <v>287</v>
      </c>
      <c r="AM174" s="10">
        <f t="shared" ca="1" si="32"/>
        <v>47.728700000000003</v>
      </c>
    </row>
    <row r="175" spans="1:39" x14ac:dyDescent="0.25">
      <c r="A175" s="10">
        <v>174</v>
      </c>
      <c r="B175" s="10" t="s">
        <v>218</v>
      </c>
      <c r="C175" s="10" t="s">
        <v>15</v>
      </c>
      <c r="D175" s="10" t="s">
        <v>17</v>
      </c>
      <c r="E175" s="11">
        <v>36.629800000000003</v>
      </c>
      <c r="F175" s="11">
        <v>47.679600000000001</v>
      </c>
      <c r="G175" s="12">
        <v>3.5000000000000001E-3</v>
      </c>
      <c r="H175" s="13">
        <v>90</v>
      </c>
      <c r="I175" s="10">
        <v>50</v>
      </c>
      <c r="J175" s="10">
        <v>50</v>
      </c>
      <c r="K175" s="14">
        <v>1.2</v>
      </c>
      <c r="L175" s="10">
        <v>25</v>
      </c>
      <c r="M175" s="15">
        <v>0.65</v>
      </c>
      <c r="N175" s="10">
        <v>20</v>
      </c>
      <c r="O175" s="10">
        <v>8</v>
      </c>
      <c r="U175" s="20">
        <f t="shared" ca="1" si="37"/>
        <v>0.96</v>
      </c>
      <c r="V175" s="20">
        <f t="shared" ca="1" si="37"/>
        <v>1</v>
      </c>
      <c r="W175" s="20">
        <f t="shared" ca="1" si="37"/>
        <v>0.55000000000000004</v>
      </c>
      <c r="X175">
        <f t="shared" ca="1" si="33"/>
        <v>36.755000000000003</v>
      </c>
      <c r="Y175">
        <f t="shared" ca="1" si="34"/>
        <v>47.61</v>
      </c>
      <c r="Z175" s="19">
        <f t="shared" ca="1" si="38"/>
        <v>0.53</v>
      </c>
      <c r="AA175" s="19">
        <f t="shared" ca="1" si="38"/>
        <v>0.57999999999999996</v>
      </c>
      <c r="AB175" s="19">
        <f t="shared" ca="1" si="38"/>
        <v>0.34</v>
      </c>
      <c r="AC175">
        <f t="shared" ca="1" si="35"/>
        <v>36.838340000000002</v>
      </c>
      <c r="AD175">
        <f t="shared" ca="1" si="36"/>
        <v>47.651029999999999</v>
      </c>
      <c r="AE175">
        <f t="shared" ca="1" si="28"/>
        <v>5942</v>
      </c>
      <c r="AF175">
        <f t="shared" ca="1" si="29"/>
        <v>36.594200000000001</v>
      </c>
      <c r="AI175" s="10" t="s">
        <v>40</v>
      </c>
      <c r="AJ175" t="str">
        <f t="shared" si="30"/>
        <v>BTR-80  #174</v>
      </c>
      <c r="AL175" s="10">
        <f t="shared" ca="1" si="31"/>
        <v>177</v>
      </c>
      <c r="AM175" s="10">
        <f t="shared" ca="1" si="32"/>
        <v>47.717700000000001</v>
      </c>
    </row>
    <row r="176" spans="1:39" x14ac:dyDescent="0.25">
      <c r="A176" s="10">
        <v>175</v>
      </c>
      <c r="B176" s="10" t="s">
        <v>219</v>
      </c>
      <c r="C176" s="10" t="s">
        <v>15</v>
      </c>
      <c r="D176" s="10" t="s">
        <v>17</v>
      </c>
      <c r="E176" s="11">
        <v>36.574129999999997</v>
      </c>
      <c r="F176" s="11">
        <v>47.66319</v>
      </c>
      <c r="G176" s="12">
        <v>3.0000000000000001E-3</v>
      </c>
      <c r="H176" s="13">
        <v>90</v>
      </c>
      <c r="I176" s="10">
        <v>60</v>
      </c>
      <c r="J176" s="10">
        <v>60</v>
      </c>
      <c r="K176" s="14">
        <v>1.5</v>
      </c>
      <c r="L176" s="10">
        <v>40</v>
      </c>
      <c r="M176" s="15">
        <v>0.7</v>
      </c>
      <c r="N176" s="10">
        <v>30</v>
      </c>
      <c r="O176" s="10">
        <v>7</v>
      </c>
      <c r="U176" s="20">
        <f t="shared" ca="1" si="37"/>
        <v>0</v>
      </c>
      <c r="V176" s="20">
        <f t="shared" ca="1" si="37"/>
        <v>0.33</v>
      </c>
      <c r="W176" s="20">
        <f t="shared" ca="1" si="37"/>
        <v>0.85</v>
      </c>
      <c r="X176">
        <f t="shared" ca="1" si="33"/>
        <v>36.640210000000003</v>
      </c>
      <c r="Y176">
        <f t="shared" ca="1" si="34"/>
        <v>47.593730000000001</v>
      </c>
      <c r="Z176" s="19">
        <f t="shared" ca="1" si="38"/>
        <v>0.21</v>
      </c>
      <c r="AA176" s="19">
        <f t="shared" ca="1" si="38"/>
        <v>0.52</v>
      </c>
      <c r="AB176" s="19">
        <f t="shared" ca="1" si="38"/>
        <v>0.86</v>
      </c>
      <c r="AC176">
        <f t="shared" ca="1" si="35"/>
        <v>36.858170000000001</v>
      </c>
      <c r="AD176">
        <f t="shared" ca="1" si="36"/>
        <v>47.631010000000003</v>
      </c>
      <c r="AE176">
        <f t="shared" ca="1" si="28"/>
        <v>3186</v>
      </c>
      <c r="AF176">
        <f t="shared" ca="1" si="29"/>
        <v>36.318600000000004</v>
      </c>
      <c r="AI176" s="10" t="s">
        <v>39</v>
      </c>
      <c r="AJ176" t="str">
        <f t="shared" si="30"/>
        <v>BMP-2  #175</v>
      </c>
      <c r="AL176" s="10">
        <f t="shared" ca="1" si="31"/>
        <v>676</v>
      </c>
      <c r="AM176" s="10">
        <f t="shared" ca="1" si="32"/>
        <v>47.767600000000002</v>
      </c>
    </row>
    <row r="177" spans="1:39" x14ac:dyDescent="0.25">
      <c r="A177" s="10">
        <v>176</v>
      </c>
      <c r="B177" s="10" t="s">
        <v>220</v>
      </c>
      <c r="C177" s="10" t="s">
        <v>15</v>
      </c>
      <c r="D177" s="10" t="s">
        <v>17</v>
      </c>
      <c r="E177" s="11">
        <v>36.519350000000003</v>
      </c>
      <c r="F177" s="11">
        <v>47.602849999999997</v>
      </c>
      <c r="G177" s="12">
        <v>3.0000000000000001E-3</v>
      </c>
      <c r="H177" s="13">
        <v>90</v>
      </c>
      <c r="I177" s="10">
        <v>60</v>
      </c>
      <c r="J177" s="10">
        <v>60</v>
      </c>
      <c r="K177" s="14">
        <v>1.5</v>
      </c>
      <c r="L177" s="10">
        <v>40</v>
      </c>
      <c r="M177" s="15">
        <v>0.7</v>
      </c>
      <c r="N177" s="10">
        <v>30</v>
      </c>
      <c r="O177" s="10">
        <v>7</v>
      </c>
      <c r="U177" s="20">
        <f t="shared" ca="1" si="37"/>
        <v>0.98</v>
      </c>
      <c r="V177" s="20">
        <f t="shared" ca="1" si="37"/>
        <v>7.0000000000000007E-2</v>
      </c>
      <c r="W177" s="20">
        <f t="shared" ca="1" si="37"/>
        <v>0.7</v>
      </c>
      <c r="X177">
        <f t="shared" ca="1" si="33"/>
        <v>36.644979999999997</v>
      </c>
      <c r="Y177">
        <f t="shared" ca="1" si="34"/>
        <v>47.684130000000003</v>
      </c>
      <c r="Z177" s="19">
        <f t="shared" ca="1" si="38"/>
        <v>0.65</v>
      </c>
      <c r="AA177" s="19">
        <f t="shared" ca="1" si="38"/>
        <v>0.05</v>
      </c>
      <c r="AB177" s="19">
        <f t="shared" ca="1" si="38"/>
        <v>0.08</v>
      </c>
      <c r="AC177">
        <f t="shared" ca="1" si="35"/>
        <v>36.781750000000002</v>
      </c>
      <c r="AD177">
        <f t="shared" ca="1" si="36"/>
        <v>47.612070000000003</v>
      </c>
      <c r="AE177">
        <f t="shared" ca="1" si="28"/>
        <v>6238</v>
      </c>
      <c r="AF177">
        <f t="shared" ca="1" si="29"/>
        <v>36.623800000000003</v>
      </c>
      <c r="AI177" s="10" t="s">
        <v>39</v>
      </c>
      <c r="AJ177" t="str">
        <f t="shared" si="30"/>
        <v>BMP-2  #176</v>
      </c>
      <c r="AL177" s="10">
        <f t="shared" ca="1" si="31"/>
        <v>774</v>
      </c>
      <c r="AM177" s="10">
        <f t="shared" ca="1" si="32"/>
        <v>47.7774</v>
      </c>
    </row>
    <row r="178" spans="1:39" x14ac:dyDescent="0.25">
      <c r="A178" s="10">
        <v>177</v>
      </c>
      <c r="B178" s="10" t="s">
        <v>221</v>
      </c>
      <c r="C178" s="10" t="s">
        <v>15</v>
      </c>
      <c r="D178" s="10" t="s">
        <v>17</v>
      </c>
      <c r="E178" s="11">
        <v>36.68676</v>
      </c>
      <c r="F178" s="11">
        <v>47.546120000000002</v>
      </c>
      <c r="G178" s="12">
        <v>3.5000000000000001E-3</v>
      </c>
      <c r="H178" s="13">
        <v>90</v>
      </c>
      <c r="I178" s="10">
        <v>50</v>
      </c>
      <c r="J178" s="10">
        <v>50</v>
      </c>
      <c r="K178" s="14">
        <v>1.2</v>
      </c>
      <c r="L178" s="10">
        <v>25</v>
      </c>
      <c r="M178" s="15">
        <v>0.65</v>
      </c>
      <c r="N178" s="10">
        <v>20</v>
      </c>
      <c r="O178" s="10">
        <v>8</v>
      </c>
      <c r="U178" s="20">
        <f t="shared" ca="1" si="37"/>
        <v>0.67</v>
      </c>
      <c r="V178" s="20">
        <f t="shared" ca="1" si="37"/>
        <v>0.36</v>
      </c>
      <c r="W178" s="20">
        <f t="shared" ca="1" si="37"/>
        <v>0.06</v>
      </c>
      <c r="X178">
        <f t="shared" ca="1" si="33"/>
        <v>36.663600000000002</v>
      </c>
      <c r="Y178">
        <f t="shared" ca="1" si="34"/>
        <v>47.587200000000003</v>
      </c>
      <c r="Z178" s="19">
        <f t="shared" ca="1" si="38"/>
        <v>0.54</v>
      </c>
      <c r="AA178" s="19">
        <f t="shared" ca="1" si="38"/>
        <v>0.67</v>
      </c>
      <c r="AB178" s="19">
        <f t="shared" ca="1" si="38"/>
        <v>0.62</v>
      </c>
      <c r="AC178">
        <f t="shared" ca="1" si="35"/>
        <v>36.822029999999998</v>
      </c>
      <c r="AD178">
        <f t="shared" ca="1" si="36"/>
        <v>47.6663</v>
      </c>
      <c r="AE178">
        <f t="shared" ca="1" si="28"/>
        <v>2965</v>
      </c>
      <c r="AF178">
        <f t="shared" ca="1" si="29"/>
        <v>36.296500000000002</v>
      </c>
      <c r="AI178" s="10" t="s">
        <v>40</v>
      </c>
      <c r="AJ178" t="str">
        <f t="shared" si="30"/>
        <v>BTR-80  #177</v>
      </c>
      <c r="AL178" s="10">
        <f t="shared" ca="1" si="31"/>
        <v>534</v>
      </c>
      <c r="AM178" s="10">
        <f t="shared" ca="1" si="32"/>
        <v>47.753400000000006</v>
      </c>
    </row>
    <row r="179" spans="1:39" x14ac:dyDescent="0.25">
      <c r="A179" s="10">
        <v>178</v>
      </c>
      <c r="B179" s="10" t="s">
        <v>222</v>
      </c>
      <c r="C179" s="10" t="s">
        <v>15</v>
      </c>
      <c r="D179" s="10" t="s">
        <v>18</v>
      </c>
      <c r="E179" s="11">
        <v>36.735880000000002</v>
      </c>
      <c r="F179" s="11">
        <v>47.64434</v>
      </c>
      <c r="G179" s="12">
        <v>1.5E-3</v>
      </c>
      <c r="H179" s="13">
        <v>90</v>
      </c>
      <c r="I179" s="10">
        <v>100</v>
      </c>
      <c r="J179" s="10">
        <v>100</v>
      </c>
      <c r="K179" s="14">
        <v>0.4</v>
      </c>
      <c r="L179" s="10">
        <v>15</v>
      </c>
      <c r="M179" s="15">
        <v>0.6</v>
      </c>
      <c r="N179" s="10">
        <v>5</v>
      </c>
      <c r="O179" s="10">
        <v>10</v>
      </c>
      <c r="U179" s="20">
        <f t="shared" ca="1" si="37"/>
        <v>0.39</v>
      </c>
      <c r="V179" s="20">
        <f t="shared" ca="1" si="37"/>
        <v>0.7</v>
      </c>
      <c r="W179" s="20">
        <f t="shared" ca="1" si="37"/>
        <v>0.57999999999999996</v>
      </c>
      <c r="X179">
        <f t="shared" ca="1" si="33"/>
        <v>36.613390000000003</v>
      </c>
      <c r="Y179">
        <f t="shared" ca="1" si="34"/>
        <v>47.567810000000001</v>
      </c>
      <c r="Z179" s="19">
        <f t="shared" ca="1" si="38"/>
        <v>0.91</v>
      </c>
      <c r="AA179" s="19">
        <f t="shared" ca="1" si="38"/>
        <v>0.68</v>
      </c>
      <c r="AB179" s="19">
        <f t="shared" ca="1" si="38"/>
        <v>0.64</v>
      </c>
      <c r="AC179">
        <f t="shared" ca="1" si="35"/>
        <v>36.820920000000001</v>
      </c>
      <c r="AD179">
        <f t="shared" ca="1" si="36"/>
        <v>47.667619999999999</v>
      </c>
      <c r="AE179">
        <f t="shared" ca="1" si="28"/>
        <v>7327</v>
      </c>
      <c r="AF179">
        <f t="shared" ca="1" si="29"/>
        <v>36.732700000000001</v>
      </c>
      <c r="AI179" s="10" t="s">
        <v>41</v>
      </c>
      <c r="AJ179" t="str">
        <f t="shared" si="30"/>
        <v>Infantry Squad  #178</v>
      </c>
      <c r="AL179" s="10">
        <f t="shared" ca="1" si="31"/>
        <v>573</v>
      </c>
      <c r="AM179" s="10">
        <f t="shared" ca="1" si="32"/>
        <v>47.757300000000001</v>
      </c>
    </row>
    <row r="180" spans="1:39" x14ac:dyDescent="0.25">
      <c r="A180" s="10">
        <v>179</v>
      </c>
      <c r="B180" s="10" t="s">
        <v>223</v>
      </c>
      <c r="C180" s="10" t="s">
        <v>15</v>
      </c>
      <c r="D180" s="10" t="s">
        <v>18</v>
      </c>
      <c r="E180" s="11">
        <v>36.649650000000001</v>
      </c>
      <c r="F180" s="11">
        <v>47.672800000000002</v>
      </c>
      <c r="G180" s="12">
        <v>1.5E-3</v>
      </c>
      <c r="H180" s="13">
        <v>90</v>
      </c>
      <c r="I180" s="10">
        <v>100</v>
      </c>
      <c r="J180" s="10">
        <v>100</v>
      </c>
      <c r="K180" s="14">
        <v>0.4</v>
      </c>
      <c r="L180" s="10">
        <v>15</v>
      </c>
      <c r="M180" s="15">
        <v>0.6</v>
      </c>
      <c r="N180" s="10">
        <v>5</v>
      </c>
      <c r="O180" s="10">
        <v>10</v>
      </c>
      <c r="U180" s="20">
        <f t="shared" ca="1" si="37"/>
        <v>0.5</v>
      </c>
      <c r="V180" s="20">
        <f t="shared" ca="1" si="37"/>
        <v>0.78</v>
      </c>
      <c r="W180" s="20">
        <f t="shared" ca="1" si="37"/>
        <v>0.8</v>
      </c>
      <c r="X180">
        <f t="shared" ca="1" si="33"/>
        <v>36.758969999999998</v>
      </c>
      <c r="Y180">
        <f t="shared" ca="1" si="34"/>
        <v>47.664670000000001</v>
      </c>
      <c r="Z180" s="19">
        <f t="shared" ca="1" si="38"/>
        <v>0.99</v>
      </c>
      <c r="AA180" s="19">
        <f t="shared" ca="1" si="38"/>
        <v>0.84</v>
      </c>
      <c r="AB180" s="19">
        <f t="shared" ca="1" si="38"/>
        <v>0.56000000000000005</v>
      </c>
      <c r="AC180">
        <f t="shared" ca="1" si="35"/>
        <v>36.836150000000004</v>
      </c>
      <c r="AD180">
        <f t="shared" ca="1" si="36"/>
        <v>47.671489999999999</v>
      </c>
      <c r="AE180">
        <f t="shared" ca="1" si="28"/>
        <v>2188</v>
      </c>
      <c r="AF180">
        <f t="shared" ca="1" si="29"/>
        <v>36.218800000000002</v>
      </c>
      <c r="AI180" s="10" t="s">
        <v>41</v>
      </c>
      <c r="AJ180" t="str">
        <f t="shared" si="30"/>
        <v>Infantry Squad  #179</v>
      </c>
      <c r="AL180" s="10">
        <f t="shared" ca="1" si="31"/>
        <v>146</v>
      </c>
      <c r="AM180" s="10">
        <f t="shared" ca="1" si="32"/>
        <v>47.714600000000004</v>
      </c>
    </row>
    <row r="181" spans="1:39" x14ac:dyDescent="0.25">
      <c r="A181" s="10">
        <v>180</v>
      </c>
      <c r="B181" s="10" t="s">
        <v>224</v>
      </c>
      <c r="C181" s="10" t="s">
        <v>15</v>
      </c>
      <c r="D181" s="10" t="s">
        <v>18</v>
      </c>
      <c r="E181" s="11">
        <v>36.69455</v>
      </c>
      <c r="F181" s="11">
        <v>47.504989999999999</v>
      </c>
      <c r="G181" s="12">
        <v>1.5E-3</v>
      </c>
      <c r="H181" s="13">
        <v>90</v>
      </c>
      <c r="I181" s="10">
        <v>100</v>
      </c>
      <c r="J181" s="10">
        <v>100</v>
      </c>
      <c r="K181" s="14">
        <v>0.4</v>
      </c>
      <c r="L181" s="10">
        <v>15</v>
      </c>
      <c r="M181" s="15">
        <v>0.6</v>
      </c>
      <c r="N181" s="10">
        <v>5</v>
      </c>
      <c r="O181" s="10">
        <v>10</v>
      </c>
      <c r="U181" s="20">
        <f t="shared" ca="1" si="37"/>
        <v>0.92</v>
      </c>
      <c r="V181" s="20">
        <f t="shared" ca="1" si="37"/>
        <v>0.34</v>
      </c>
      <c r="W181" s="20">
        <f t="shared" ca="1" si="37"/>
        <v>0.57999999999999996</v>
      </c>
      <c r="X181">
        <f t="shared" ca="1" si="33"/>
        <v>36.692129999999999</v>
      </c>
      <c r="Y181">
        <f t="shared" ca="1" si="34"/>
        <v>47.651020000000003</v>
      </c>
      <c r="Z181" s="19">
        <f t="shared" ca="1" si="38"/>
        <v>0.92</v>
      </c>
      <c r="AA181" s="19">
        <f t="shared" ca="1" si="38"/>
        <v>0.65</v>
      </c>
      <c r="AB181" s="19">
        <f t="shared" ca="1" si="38"/>
        <v>0.9</v>
      </c>
      <c r="AC181">
        <f t="shared" ca="1" si="35"/>
        <v>36.798369999999998</v>
      </c>
      <c r="AD181">
        <f t="shared" ca="1" si="36"/>
        <v>47.676589999999997</v>
      </c>
      <c r="AE181">
        <f t="shared" ca="1" si="28"/>
        <v>4904</v>
      </c>
      <c r="AF181">
        <f t="shared" ca="1" si="29"/>
        <v>36.490400000000001</v>
      </c>
      <c r="AI181" s="10" t="s">
        <v>41</v>
      </c>
      <c r="AJ181" t="str">
        <f t="shared" si="30"/>
        <v>Infantry Squad  #180</v>
      </c>
      <c r="AL181" s="10">
        <f t="shared" ca="1" si="31"/>
        <v>844</v>
      </c>
      <c r="AM181" s="10">
        <f t="shared" ca="1" si="32"/>
        <v>47.784400000000005</v>
      </c>
    </row>
    <row r="182" spans="1:39" x14ac:dyDescent="0.25">
      <c r="A182" s="10">
        <v>181</v>
      </c>
      <c r="B182" s="10" t="s">
        <v>225</v>
      </c>
      <c r="C182" s="10" t="s">
        <v>15</v>
      </c>
      <c r="D182" s="10" t="s">
        <v>16</v>
      </c>
      <c r="E182" s="11">
        <v>36.535939999999997</v>
      </c>
      <c r="F182" s="11">
        <v>47.62283</v>
      </c>
      <c r="G182" s="12">
        <v>2E-3</v>
      </c>
      <c r="H182" s="13">
        <v>90</v>
      </c>
      <c r="I182" s="10">
        <v>100</v>
      </c>
      <c r="J182" s="10">
        <v>100</v>
      </c>
      <c r="K182" s="14">
        <v>2.5</v>
      </c>
      <c r="L182" s="10">
        <v>80</v>
      </c>
      <c r="M182" s="15">
        <v>0.75</v>
      </c>
      <c r="N182" s="10">
        <v>80</v>
      </c>
      <c r="O182" s="10">
        <v>3</v>
      </c>
      <c r="U182" s="20">
        <f t="shared" ca="1" si="37"/>
        <v>0.78</v>
      </c>
      <c r="V182" s="20">
        <f t="shared" ca="1" si="37"/>
        <v>0.46</v>
      </c>
      <c r="W182" s="20">
        <f t="shared" ca="1" si="37"/>
        <v>0.81</v>
      </c>
      <c r="X182">
        <f t="shared" ca="1" si="33"/>
        <v>36.722760000000001</v>
      </c>
      <c r="Y182">
        <f t="shared" ca="1" si="34"/>
        <v>47.674230000000001</v>
      </c>
      <c r="Z182" s="19">
        <f t="shared" ca="1" si="38"/>
        <v>0.19</v>
      </c>
      <c r="AA182" s="19">
        <f t="shared" ca="1" si="38"/>
        <v>0.55000000000000004</v>
      </c>
      <c r="AB182" s="19">
        <f t="shared" ca="1" si="38"/>
        <v>0.93</v>
      </c>
      <c r="AC182">
        <f t="shared" ca="1" si="35"/>
        <v>36.861240000000002</v>
      </c>
      <c r="AD182">
        <f t="shared" ca="1" si="36"/>
        <v>47.63449</v>
      </c>
      <c r="AE182">
        <f t="shared" ca="1" si="28"/>
        <v>3850</v>
      </c>
      <c r="AF182">
        <f t="shared" ca="1" si="29"/>
        <v>36.384999999999998</v>
      </c>
      <c r="AI182" s="10" t="s">
        <v>37</v>
      </c>
      <c r="AJ182" t="str">
        <f t="shared" si="30"/>
        <v>T-72B3 Tank  #181</v>
      </c>
      <c r="AL182" s="10">
        <f t="shared" ca="1" si="31"/>
        <v>206</v>
      </c>
      <c r="AM182" s="10">
        <f t="shared" ca="1" si="32"/>
        <v>47.720600000000005</v>
      </c>
    </row>
    <row r="183" spans="1:39" x14ac:dyDescent="0.25">
      <c r="A183" s="10">
        <v>182</v>
      </c>
      <c r="B183" s="10" t="s">
        <v>226</v>
      </c>
      <c r="C183" s="10" t="s">
        <v>15</v>
      </c>
      <c r="D183" s="10" t="s">
        <v>16</v>
      </c>
      <c r="E183" s="11">
        <v>36.603859999999997</v>
      </c>
      <c r="F183" s="11">
        <v>47.553420000000003</v>
      </c>
      <c r="G183" s="12">
        <v>2E-3</v>
      </c>
      <c r="H183" s="13">
        <v>90</v>
      </c>
      <c r="I183" s="10">
        <v>100</v>
      </c>
      <c r="J183" s="10">
        <v>100</v>
      </c>
      <c r="K183" s="14">
        <v>2.5</v>
      </c>
      <c r="L183" s="10">
        <v>80</v>
      </c>
      <c r="M183" s="15">
        <v>0.75</v>
      </c>
      <c r="N183" s="10">
        <v>80</v>
      </c>
      <c r="O183" s="10">
        <v>3</v>
      </c>
      <c r="U183" s="20">
        <f t="shared" ca="1" si="37"/>
        <v>0.43</v>
      </c>
      <c r="V183" s="20">
        <f t="shared" ca="1" si="37"/>
        <v>0.05</v>
      </c>
      <c r="W183" s="20">
        <f t="shared" ca="1" si="37"/>
        <v>0.3</v>
      </c>
      <c r="X183">
        <f t="shared" ca="1" si="33"/>
        <v>36.629069999999999</v>
      </c>
      <c r="Y183">
        <f t="shared" ca="1" si="34"/>
        <v>47.668700000000001</v>
      </c>
      <c r="Z183" s="19">
        <f t="shared" ca="1" si="38"/>
        <v>0.93</v>
      </c>
      <c r="AA183" s="19">
        <f t="shared" ca="1" si="38"/>
        <v>0.28000000000000003</v>
      </c>
      <c r="AB183" s="19">
        <f t="shared" ca="1" si="38"/>
        <v>0.11</v>
      </c>
      <c r="AC183">
        <f t="shared" ca="1" si="35"/>
        <v>36.823549999999997</v>
      </c>
      <c r="AD183">
        <f t="shared" ca="1" si="36"/>
        <v>47.629370000000002</v>
      </c>
      <c r="AE183">
        <f t="shared" ca="1" si="28"/>
        <v>9777</v>
      </c>
      <c r="AF183">
        <f t="shared" ca="1" si="29"/>
        <v>36.977699999999999</v>
      </c>
      <c r="AI183" s="10" t="s">
        <v>37</v>
      </c>
      <c r="AJ183" t="str">
        <f t="shared" si="30"/>
        <v>T-72B3 Tank  #182</v>
      </c>
      <c r="AL183" s="10">
        <f t="shared" ca="1" si="31"/>
        <v>132</v>
      </c>
      <c r="AM183" s="10">
        <f t="shared" ca="1" si="32"/>
        <v>47.713200000000001</v>
      </c>
    </row>
    <row r="184" spans="1:39" x14ac:dyDescent="0.25">
      <c r="A184" s="10">
        <v>183</v>
      </c>
      <c r="B184" s="10" t="s">
        <v>227</v>
      </c>
      <c r="C184" s="10" t="s">
        <v>15</v>
      </c>
      <c r="D184" s="10" t="s">
        <v>16</v>
      </c>
      <c r="E184" s="11">
        <v>36.721440000000001</v>
      </c>
      <c r="F184" s="11">
        <v>47.696300000000001</v>
      </c>
      <c r="G184" s="12">
        <v>2.5000000000000001E-3</v>
      </c>
      <c r="H184" s="13">
        <v>90</v>
      </c>
      <c r="I184" s="10">
        <v>110</v>
      </c>
      <c r="J184" s="10">
        <v>110</v>
      </c>
      <c r="K184" s="14">
        <v>2.8</v>
      </c>
      <c r="L184" s="10">
        <v>85</v>
      </c>
      <c r="M184" s="15">
        <v>0.78</v>
      </c>
      <c r="N184" s="10">
        <v>85</v>
      </c>
      <c r="O184" s="10">
        <v>3</v>
      </c>
      <c r="U184" s="20">
        <f t="shared" ca="1" si="37"/>
        <v>0.53</v>
      </c>
      <c r="V184" s="20">
        <f t="shared" ca="1" si="37"/>
        <v>0.22</v>
      </c>
      <c r="W184" s="20">
        <f t="shared" ca="1" si="37"/>
        <v>0.81</v>
      </c>
      <c r="X184">
        <f t="shared" ca="1" si="33"/>
        <v>36.684899999999999</v>
      </c>
      <c r="Y184">
        <f t="shared" ca="1" si="34"/>
        <v>47.682180000000002</v>
      </c>
      <c r="Z184" s="19">
        <f t="shared" ca="1" si="38"/>
        <v>0.91</v>
      </c>
      <c r="AA184" s="19">
        <f t="shared" ca="1" si="38"/>
        <v>0.45</v>
      </c>
      <c r="AB184" s="19">
        <f t="shared" ca="1" si="38"/>
        <v>0.77</v>
      </c>
      <c r="AC184">
        <f t="shared" ca="1" si="35"/>
        <v>36.798969999999997</v>
      </c>
      <c r="AD184">
        <f t="shared" ca="1" si="36"/>
        <v>47.659370000000003</v>
      </c>
      <c r="AE184">
        <f t="shared" ca="1" si="28"/>
        <v>3057</v>
      </c>
      <c r="AF184">
        <f t="shared" ca="1" si="29"/>
        <v>36.305700000000002</v>
      </c>
      <c r="AI184" s="10" t="s">
        <v>38</v>
      </c>
      <c r="AJ184" t="str">
        <f t="shared" si="30"/>
        <v>T-80BVM Tank  #183</v>
      </c>
      <c r="AL184" s="10">
        <f t="shared" ca="1" si="31"/>
        <v>974</v>
      </c>
      <c r="AM184" s="10">
        <f t="shared" ca="1" si="32"/>
        <v>47.797400000000003</v>
      </c>
    </row>
    <row r="185" spans="1:39" x14ac:dyDescent="0.25">
      <c r="A185" s="10">
        <v>184</v>
      </c>
      <c r="B185" s="10" t="s">
        <v>228</v>
      </c>
      <c r="C185" s="10" t="s">
        <v>15</v>
      </c>
      <c r="D185" s="10" t="s">
        <v>16</v>
      </c>
      <c r="E185" s="11">
        <v>36.722619999999999</v>
      </c>
      <c r="F185" s="11">
        <v>47.682949999999998</v>
      </c>
      <c r="G185" s="12">
        <v>2E-3</v>
      </c>
      <c r="H185" s="13">
        <v>90</v>
      </c>
      <c r="I185" s="10">
        <v>100</v>
      </c>
      <c r="J185" s="10">
        <v>100</v>
      </c>
      <c r="K185" s="14">
        <v>2.5</v>
      </c>
      <c r="L185" s="10">
        <v>80</v>
      </c>
      <c r="M185" s="15">
        <v>0.75</v>
      </c>
      <c r="N185" s="10">
        <v>80</v>
      </c>
      <c r="O185" s="10">
        <v>3</v>
      </c>
      <c r="U185" s="20">
        <f t="shared" ca="1" si="37"/>
        <v>0.6</v>
      </c>
      <c r="V185" s="20">
        <f t="shared" ca="1" si="37"/>
        <v>0.65</v>
      </c>
      <c r="W185" s="20">
        <f t="shared" ca="1" si="37"/>
        <v>0.42</v>
      </c>
      <c r="X185">
        <f t="shared" ca="1" si="33"/>
        <v>36.714480000000002</v>
      </c>
      <c r="Y185">
        <f t="shared" ca="1" si="34"/>
        <v>47.606479999999998</v>
      </c>
      <c r="Z185" s="19">
        <f t="shared" ca="1" si="38"/>
        <v>0.6</v>
      </c>
      <c r="AA185" s="19">
        <f t="shared" ca="1" si="38"/>
        <v>7.0000000000000007E-2</v>
      </c>
      <c r="AB185" s="19">
        <f t="shared" ca="1" si="38"/>
        <v>0.87</v>
      </c>
      <c r="AC185">
        <f t="shared" ca="1" si="35"/>
        <v>36.766669999999998</v>
      </c>
      <c r="AD185">
        <f t="shared" ca="1" si="36"/>
        <v>47.624740000000003</v>
      </c>
      <c r="AE185">
        <f t="shared" ca="1" si="28"/>
        <v>5959</v>
      </c>
      <c r="AF185">
        <f t="shared" ca="1" si="29"/>
        <v>36.5959</v>
      </c>
      <c r="AI185" s="10" t="s">
        <v>37</v>
      </c>
      <c r="AJ185" t="str">
        <f t="shared" si="30"/>
        <v>T-72B3 Tank  #184</v>
      </c>
      <c r="AL185" s="10">
        <f t="shared" ca="1" si="31"/>
        <v>200</v>
      </c>
      <c r="AM185" s="10">
        <f t="shared" ca="1" si="32"/>
        <v>47.720000000000006</v>
      </c>
    </row>
    <row r="186" spans="1:39" x14ac:dyDescent="0.25">
      <c r="A186" s="10">
        <v>185</v>
      </c>
      <c r="B186" s="10" t="s">
        <v>229</v>
      </c>
      <c r="C186" s="10" t="s">
        <v>15</v>
      </c>
      <c r="D186" s="10" t="s">
        <v>16</v>
      </c>
      <c r="E186" s="11">
        <v>36.677509999999998</v>
      </c>
      <c r="F186" s="11">
        <v>47.537550000000003</v>
      </c>
      <c r="G186" s="12">
        <v>2.5000000000000001E-3</v>
      </c>
      <c r="H186" s="13">
        <v>90</v>
      </c>
      <c r="I186" s="10">
        <v>110</v>
      </c>
      <c r="J186" s="10">
        <v>110</v>
      </c>
      <c r="K186" s="14">
        <v>2.8</v>
      </c>
      <c r="L186" s="10">
        <v>85</v>
      </c>
      <c r="M186" s="15">
        <v>0.78</v>
      </c>
      <c r="N186" s="10">
        <v>85</v>
      </c>
      <c r="O186" s="10">
        <v>3</v>
      </c>
      <c r="U186" s="20">
        <f t="shared" ca="1" si="37"/>
        <v>0.8</v>
      </c>
      <c r="V186" s="20">
        <f t="shared" ca="1" si="37"/>
        <v>0.94</v>
      </c>
      <c r="W186" s="20">
        <f t="shared" ca="1" si="37"/>
        <v>0.49</v>
      </c>
      <c r="X186">
        <f t="shared" ca="1" si="33"/>
        <v>36.744459999999997</v>
      </c>
      <c r="Y186">
        <f t="shared" ca="1" si="34"/>
        <v>47.601109999999998</v>
      </c>
      <c r="Z186" s="19">
        <f t="shared" ca="1" si="38"/>
        <v>0.11</v>
      </c>
      <c r="AA186" s="19">
        <f t="shared" ca="1" si="38"/>
        <v>0.53</v>
      </c>
      <c r="AB186" s="19">
        <f t="shared" ca="1" si="38"/>
        <v>0.02</v>
      </c>
      <c r="AC186">
        <f t="shared" ca="1" si="35"/>
        <v>36.859200000000001</v>
      </c>
      <c r="AD186">
        <f t="shared" ca="1" si="36"/>
        <v>47.600729999999999</v>
      </c>
      <c r="AE186">
        <f t="shared" ca="1" si="28"/>
        <v>8</v>
      </c>
      <c r="AF186">
        <f t="shared" ca="1" si="29"/>
        <v>36.000799999999998</v>
      </c>
      <c r="AI186" s="10" t="s">
        <v>38</v>
      </c>
      <c r="AJ186" t="str">
        <f t="shared" si="30"/>
        <v>T-80BVM Tank  #185</v>
      </c>
      <c r="AL186" s="10">
        <f t="shared" ca="1" si="31"/>
        <v>760</v>
      </c>
      <c r="AM186" s="10">
        <f t="shared" ca="1" si="32"/>
        <v>47.776000000000003</v>
      </c>
    </row>
    <row r="187" spans="1:39" x14ac:dyDescent="0.25">
      <c r="A187" s="10">
        <v>186</v>
      </c>
      <c r="B187" s="10" t="s">
        <v>230</v>
      </c>
      <c r="C187" s="10" t="s">
        <v>15</v>
      </c>
      <c r="D187" s="10" t="s">
        <v>17</v>
      </c>
      <c r="E187" s="11">
        <v>36.722050000000003</v>
      </c>
      <c r="F187" s="11">
        <v>47.67877</v>
      </c>
      <c r="G187" s="12">
        <v>3.0000000000000001E-3</v>
      </c>
      <c r="H187" s="13">
        <v>90</v>
      </c>
      <c r="I187" s="10">
        <v>60</v>
      </c>
      <c r="J187" s="10">
        <v>60</v>
      </c>
      <c r="K187" s="14">
        <v>1.5</v>
      </c>
      <c r="L187" s="10">
        <v>40</v>
      </c>
      <c r="M187" s="15">
        <v>0.7</v>
      </c>
      <c r="N187" s="10">
        <v>30</v>
      </c>
      <c r="O187" s="10">
        <v>7</v>
      </c>
      <c r="U187" s="20">
        <f t="shared" ca="1" si="37"/>
        <v>0.91</v>
      </c>
      <c r="V187" s="20">
        <f t="shared" ca="1" si="37"/>
        <v>0.02</v>
      </c>
      <c r="W187" s="20">
        <f t="shared" ca="1" si="37"/>
        <v>0.4</v>
      </c>
      <c r="X187">
        <f t="shared" ca="1" si="33"/>
        <v>36.619799999999998</v>
      </c>
      <c r="Y187">
        <f t="shared" ca="1" si="34"/>
        <v>47.683030000000002</v>
      </c>
      <c r="Z187" s="19">
        <f t="shared" ca="1" si="38"/>
        <v>0.51</v>
      </c>
      <c r="AA187" s="19">
        <f t="shared" ca="1" si="38"/>
        <v>0.32</v>
      </c>
      <c r="AB187" s="19">
        <f t="shared" ca="1" si="38"/>
        <v>0.9</v>
      </c>
      <c r="AC187">
        <f t="shared" ca="1" si="35"/>
        <v>36.783940000000001</v>
      </c>
      <c r="AD187">
        <f t="shared" ca="1" si="36"/>
        <v>47.653739999999999</v>
      </c>
      <c r="AE187">
        <f t="shared" ca="1" si="28"/>
        <v>6544</v>
      </c>
      <c r="AF187">
        <f t="shared" ca="1" si="29"/>
        <v>36.654400000000003</v>
      </c>
      <c r="AI187" s="10" t="s">
        <v>39</v>
      </c>
      <c r="AJ187" t="str">
        <f t="shared" si="30"/>
        <v>BMP-2  #186</v>
      </c>
      <c r="AL187" s="10">
        <f t="shared" ca="1" si="31"/>
        <v>425</v>
      </c>
      <c r="AM187" s="10">
        <f t="shared" ca="1" si="32"/>
        <v>47.7425</v>
      </c>
    </row>
    <row r="188" spans="1:39" x14ac:dyDescent="0.25">
      <c r="A188" s="10">
        <v>187</v>
      </c>
      <c r="B188" s="10" t="s">
        <v>231</v>
      </c>
      <c r="C188" s="10" t="s">
        <v>15</v>
      </c>
      <c r="D188" s="10" t="s">
        <v>17</v>
      </c>
      <c r="E188" s="11">
        <v>36.749180000000003</v>
      </c>
      <c r="F188" s="11">
        <v>47.685940000000002</v>
      </c>
      <c r="G188" s="12">
        <v>3.0000000000000001E-3</v>
      </c>
      <c r="H188" s="13">
        <v>90</v>
      </c>
      <c r="I188" s="10">
        <v>60</v>
      </c>
      <c r="J188" s="10">
        <v>60</v>
      </c>
      <c r="K188" s="14">
        <v>1.5</v>
      </c>
      <c r="L188" s="10">
        <v>40</v>
      </c>
      <c r="M188" s="15">
        <v>0.7</v>
      </c>
      <c r="N188" s="10">
        <v>30</v>
      </c>
      <c r="O188" s="10">
        <v>7</v>
      </c>
      <c r="U188" s="20">
        <f t="shared" ca="1" si="37"/>
        <v>0.33</v>
      </c>
      <c r="V188" s="20">
        <f t="shared" ca="1" si="37"/>
        <v>0.67</v>
      </c>
      <c r="W188" s="20">
        <f t="shared" ca="1" si="37"/>
        <v>0.97</v>
      </c>
      <c r="X188">
        <f t="shared" ca="1" si="33"/>
        <v>36.676940000000002</v>
      </c>
      <c r="Y188">
        <f t="shared" ca="1" si="34"/>
        <v>47.53875</v>
      </c>
      <c r="Z188" s="19">
        <f t="shared" ca="1" si="38"/>
        <v>0.75</v>
      </c>
      <c r="AA188" s="19">
        <f t="shared" ca="1" si="38"/>
        <v>0.03</v>
      </c>
      <c r="AB188" s="19">
        <f t="shared" ca="1" si="38"/>
        <v>0.25</v>
      </c>
      <c r="AC188">
        <f t="shared" ca="1" si="35"/>
        <v>36.771650000000001</v>
      </c>
      <c r="AD188">
        <f t="shared" ca="1" si="36"/>
        <v>47.61083</v>
      </c>
      <c r="AE188">
        <f t="shared" ca="1" si="28"/>
        <v>3175</v>
      </c>
      <c r="AF188">
        <f t="shared" ca="1" si="29"/>
        <v>36.317500000000003</v>
      </c>
      <c r="AI188" s="10" t="s">
        <v>39</v>
      </c>
      <c r="AJ188" t="str">
        <f t="shared" si="30"/>
        <v>BMP-2  #187</v>
      </c>
      <c r="AL188" s="10">
        <f t="shared" ca="1" si="31"/>
        <v>536</v>
      </c>
      <c r="AM188" s="10">
        <f t="shared" ca="1" si="32"/>
        <v>47.753600000000006</v>
      </c>
    </row>
    <row r="189" spans="1:39" x14ac:dyDescent="0.25">
      <c r="A189" s="10">
        <v>188</v>
      </c>
      <c r="B189" s="10" t="s">
        <v>232</v>
      </c>
      <c r="C189" s="10" t="s">
        <v>15</v>
      </c>
      <c r="D189" s="10" t="s">
        <v>17</v>
      </c>
      <c r="E189" s="11">
        <v>36.70196</v>
      </c>
      <c r="F189" s="11">
        <v>47.507950000000001</v>
      </c>
      <c r="G189" s="12">
        <v>3.5000000000000001E-3</v>
      </c>
      <c r="H189" s="13">
        <v>90</v>
      </c>
      <c r="I189" s="10">
        <v>50</v>
      </c>
      <c r="J189" s="10">
        <v>50</v>
      </c>
      <c r="K189" s="14">
        <v>1.2</v>
      </c>
      <c r="L189" s="10">
        <v>25</v>
      </c>
      <c r="M189" s="15">
        <v>0.65</v>
      </c>
      <c r="N189" s="10">
        <v>20</v>
      </c>
      <c r="O189" s="10">
        <v>8</v>
      </c>
      <c r="U189" s="20">
        <f t="shared" ca="1" si="37"/>
        <v>0.44</v>
      </c>
      <c r="V189" s="20">
        <f t="shared" ca="1" si="37"/>
        <v>0.84</v>
      </c>
      <c r="W189" s="20">
        <f t="shared" ca="1" si="37"/>
        <v>0.61</v>
      </c>
      <c r="X189">
        <f t="shared" ca="1" si="33"/>
        <v>36.74756</v>
      </c>
      <c r="Y189">
        <f t="shared" ca="1" si="34"/>
        <v>47.628509999999999</v>
      </c>
      <c r="Z189" s="19">
        <f t="shared" ca="1" si="38"/>
        <v>0.92</v>
      </c>
      <c r="AA189" s="19">
        <f t="shared" ca="1" si="38"/>
        <v>0.2</v>
      </c>
      <c r="AB189" s="19">
        <f t="shared" ca="1" si="38"/>
        <v>0.79</v>
      </c>
      <c r="AC189">
        <f t="shared" ca="1" si="35"/>
        <v>36.781750000000002</v>
      </c>
      <c r="AD189">
        <f t="shared" ca="1" si="36"/>
        <v>47.640030000000003</v>
      </c>
      <c r="AE189">
        <f t="shared" ca="1" si="28"/>
        <v>5347</v>
      </c>
      <c r="AF189">
        <f t="shared" ca="1" si="29"/>
        <v>36.534700000000001</v>
      </c>
      <c r="AI189" s="10" t="s">
        <v>40</v>
      </c>
      <c r="AJ189" t="str">
        <f t="shared" si="30"/>
        <v>BTR-80  #188</v>
      </c>
      <c r="AL189" s="10">
        <f t="shared" ca="1" si="31"/>
        <v>74</v>
      </c>
      <c r="AM189" s="10">
        <f t="shared" ca="1" si="32"/>
        <v>47.7074</v>
      </c>
    </row>
    <row r="190" spans="1:39" x14ac:dyDescent="0.25">
      <c r="A190" s="10">
        <v>189</v>
      </c>
      <c r="B190" s="10" t="s">
        <v>233</v>
      </c>
      <c r="C190" s="10" t="s">
        <v>15</v>
      </c>
      <c r="D190" s="10" t="s">
        <v>17</v>
      </c>
      <c r="E190" s="11">
        <v>36.724960000000003</v>
      </c>
      <c r="F190" s="11">
        <v>47.587710000000001</v>
      </c>
      <c r="G190" s="12">
        <v>3.0000000000000001E-3</v>
      </c>
      <c r="H190" s="13">
        <v>90</v>
      </c>
      <c r="I190" s="10">
        <v>60</v>
      </c>
      <c r="J190" s="10">
        <v>60</v>
      </c>
      <c r="K190" s="14">
        <v>1.5</v>
      </c>
      <c r="L190" s="10">
        <v>40</v>
      </c>
      <c r="M190" s="15">
        <v>0.7</v>
      </c>
      <c r="N190" s="10">
        <v>30</v>
      </c>
      <c r="O190" s="10">
        <v>7</v>
      </c>
      <c r="U190" s="20">
        <f t="shared" ca="1" si="37"/>
        <v>0.19</v>
      </c>
      <c r="V190" s="20">
        <f t="shared" ca="1" si="37"/>
        <v>0.88</v>
      </c>
      <c r="W190" s="20">
        <f t="shared" ca="1" si="37"/>
        <v>0.78</v>
      </c>
      <c r="X190">
        <f t="shared" ca="1" si="33"/>
        <v>36.652529999999999</v>
      </c>
      <c r="Y190">
        <f t="shared" ca="1" si="34"/>
        <v>47.53302</v>
      </c>
      <c r="Z190" s="19">
        <f t="shared" ca="1" si="38"/>
        <v>0.6</v>
      </c>
      <c r="AA190" s="19">
        <f t="shared" ca="1" si="38"/>
        <v>0.23</v>
      </c>
      <c r="AB190" s="19">
        <f t="shared" ca="1" si="38"/>
        <v>0.27</v>
      </c>
      <c r="AC190">
        <f t="shared" ca="1" si="35"/>
        <v>36.808990000000001</v>
      </c>
      <c r="AD190">
        <f t="shared" ca="1" si="36"/>
        <v>47.630450000000003</v>
      </c>
      <c r="AE190">
        <f t="shared" ca="1" si="28"/>
        <v>5172</v>
      </c>
      <c r="AF190">
        <f t="shared" ca="1" si="29"/>
        <v>36.517200000000003</v>
      </c>
      <c r="AI190" s="10" t="s">
        <v>39</v>
      </c>
      <c r="AJ190" t="str">
        <f t="shared" si="30"/>
        <v>BMP-2  #189</v>
      </c>
      <c r="AL190" s="10">
        <f t="shared" ca="1" si="31"/>
        <v>264</v>
      </c>
      <c r="AM190" s="10">
        <f t="shared" ca="1" si="32"/>
        <v>47.726400000000005</v>
      </c>
    </row>
    <row r="191" spans="1:39" x14ac:dyDescent="0.25">
      <c r="A191" s="10">
        <v>190</v>
      </c>
      <c r="B191" s="10" t="s">
        <v>234</v>
      </c>
      <c r="C191" s="10" t="s">
        <v>15</v>
      </c>
      <c r="D191" s="10" t="s">
        <v>17</v>
      </c>
      <c r="E191" s="11">
        <v>36.618670000000002</v>
      </c>
      <c r="F191" s="11">
        <v>47.627029999999998</v>
      </c>
      <c r="G191" s="12">
        <v>3.0000000000000001E-3</v>
      </c>
      <c r="H191" s="13">
        <v>90</v>
      </c>
      <c r="I191" s="10">
        <v>60</v>
      </c>
      <c r="J191" s="10">
        <v>60</v>
      </c>
      <c r="K191" s="14">
        <v>1.5</v>
      </c>
      <c r="L191" s="10">
        <v>40</v>
      </c>
      <c r="M191" s="15">
        <v>0.7</v>
      </c>
      <c r="N191" s="10">
        <v>30</v>
      </c>
      <c r="O191" s="10">
        <v>7</v>
      </c>
      <c r="U191" s="20">
        <f t="shared" ca="1" si="37"/>
        <v>0.67</v>
      </c>
      <c r="V191" s="20">
        <f t="shared" ca="1" si="37"/>
        <v>0.31</v>
      </c>
      <c r="W191" s="20">
        <f t="shared" ca="1" si="37"/>
        <v>0.18</v>
      </c>
      <c r="X191">
        <f t="shared" ca="1" si="33"/>
        <v>36.665700000000001</v>
      </c>
      <c r="Y191">
        <f t="shared" ca="1" si="34"/>
        <v>47.608690000000003</v>
      </c>
      <c r="Z191" s="19">
        <f t="shared" ca="1" si="38"/>
        <v>0.7</v>
      </c>
      <c r="AA191" s="19">
        <f t="shared" ca="1" si="38"/>
        <v>0.1</v>
      </c>
      <c r="AB191" s="19">
        <f t="shared" ca="1" si="38"/>
        <v>0.83</v>
      </c>
      <c r="AC191">
        <f t="shared" ca="1" si="35"/>
        <v>36.771189999999997</v>
      </c>
      <c r="AD191">
        <f t="shared" ca="1" si="36"/>
        <v>47.628929999999997</v>
      </c>
      <c r="AE191">
        <f t="shared" ca="1" si="28"/>
        <v>1665</v>
      </c>
      <c r="AF191">
        <f t="shared" ca="1" si="29"/>
        <v>36.166499999999999</v>
      </c>
      <c r="AI191" s="10" t="s">
        <v>39</v>
      </c>
      <c r="AJ191" t="str">
        <f t="shared" si="30"/>
        <v>BMP-2  #190</v>
      </c>
      <c r="AL191" s="10">
        <f t="shared" ca="1" si="31"/>
        <v>912</v>
      </c>
      <c r="AM191" s="10">
        <f t="shared" ca="1" si="32"/>
        <v>47.791200000000003</v>
      </c>
    </row>
    <row r="192" spans="1:39" x14ac:dyDescent="0.25">
      <c r="A192" s="10">
        <v>191</v>
      </c>
      <c r="B192" s="10" t="s">
        <v>235</v>
      </c>
      <c r="C192" s="10" t="s">
        <v>15</v>
      </c>
      <c r="D192" s="10" t="s">
        <v>17</v>
      </c>
      <c r="E192" s="11">
        <v>36.66319</v>
      </c>
      <c r="F192" s="11">
        <v>47.596600000000002</v>
      </c>
      <c r="G192" s="12">
        <v>3.5000000000000001E-3</v>
      </c>
      <c r="H192" s="13">
        <v>90</v>
      </c>
      <c r="I192" s="10">
        <v>50</v>
      </c>
      <c r="J192" s="10">
        <v>50</v>
      </c>
      <c r="K192" s="14">
        <v>1.2</v>
      </c>
      <c r="L192" s="10">
        <v>25</v>
      </c>
      <c r="M192" s="15">
        <v>0.65</v>
      </c>
      <c r="N192" s="10">
        <v>20</v>
      </c>
      <c r="O192" s="10">
        <v>8</v>
      </c>
      <c r="U192" s="20">
        <f t="shared" ca="1" si="37"/>
        <v>0.53</v>
      </c>
      <c r="V192" s="20">
        <f t="shared" ca="1" si="37"/>
        <v>0.79</v>
      </c>
      <c r="W192" s="20">
        <f t="shared" ca="1" si="37"/>
        <v>0.06</v>
      </c>
      <c r="X192">
        <f t="shared" ca="1" si="33"/>
        <v>36.694209999999998</v>
      </c>
      <c r="Y192">
        <f t="shared" ca="1" si="34"/>
        <v>47.532899999999998</v>
      </c>
      <c r="Z192" s="19">
        <f t="shared" ca="1" si="38"/>
        <v>0.68</v>
      </c>
      <c r="AA192" s="19">
        <f t="shared" ca="1" si="38"/>
        <v>0.85</v>
      </c>
      <c r="AB192" s="19">
        <f t="shared" ca="1" si="38"/>
        <v>0.43</v>
      </c>
      <c r="AC192">
        <f t="shared" ca="1" si="35"/>
        <v>36.848649999999999</v>
      </c>
      <c r="AD192">
        <f t="shared" ca="1" si="36"/>
        <v>47.66592</v>
      </c>
      <c r="AE192">
        <f t="shared" ca="1" si="28"/>
        <v>9588</v>
      </c>
      <c r="AF192">
        <f t="shared" ca="1" si="29"/>
        <v>36.958799999999997</v>
      </c>
      <c r="AI192" s="10" t="s">
        <v>40</v>
      </c>
      <c r="AJ192" t="str">
        <f t="shared" si="30"/>
        <v>BTR-80  #191</v>
      </c>
      <c r="AL192" s="10">
        <f t="shared" ca="1" si="31"/>
        <v>144</v>
      </c>
      <c r="AM192" s="10">
        <f t="shared" ca="1" si="32"/>
        <v>47.714400000000005</v>
      </c>
    </row>
    <row r="193" spans="1:39" x14ac:dyDescent="0.25">
      <c r="A193" s="10">
        <v>192</v>
      </c>
      <c r="B193" s="10" t="s">
        <v>236</v>
      </c>
      <c r="C193" s="10" t="s">
        <v>15</v>
      </c>
      <c r="D193" s="10" t="s">
        <v>17</v>
      </c>
      <c r="E193" s="11">
        <v>36.597529999999999</v>
      </c>
      <c r="F193" s="11">
        <v>47.639389999999999</v>
      </c>
      <c r="G193" s="12">
        <v>3.0000000000000001E-3</v>
      </c>
      <c r="H193" s="13">
        <v>90</v>
      </c>
      <c r="I193" s="10">
        <v>60</v>
      </c>
      <c r="J193" s="10">
        <v>60</v>
      </c>
      <c r="K193" s="14">
        <v>1.5</v>
      </c>
      <c r="L193" s="10">
        <v>40</v>
      </c>
      <c r="M193" s="15">
        <v>0.7</v>
      </c>
      <c r="N193" s="10">
        <v>30</v>
      </c>
      <c r="O193" s="10">
        <v>7</v>
      </c>
      <c r="U193" s="20">
        <f t="shared" ca="1" si="37"/>
        <v>0.73</v>
      </c>
      <c r="V193" s="20">
        <f t="shared" ca="1" si="37"/>
        <v>0.76</v>
      </c>
      <c r="W193" s="20">
        <f t="shared" ca="1" si="37"/>
        <v>0.19</v>
      </c>
      <c r="X193">
        <f t="shared" ca="1" si="33"/>
        <v>36.703740000000003</v>
      </c>
      <c r="Y193">
        <f t="shared" ca="1" si="34"/>
        <v>47.558770000000003</v>
      </c>
      <c r="Z193" s="19">
        <f t="shared" ca="1" si="38"/>
        <v>0.02</v>
      </c>
      <c r="AA193" s="19">
        <f t="shared" ca="1" si="38"/>
        <v>0.2</v>
      </c>
      <c r="AB193" s="19">
        <f t="shared" ca="1" si="38"/>
        <v>0.18</v>
      </c>
      <c r="AC193">
        <f t="shared" ca="1" si="35"/>
        <v>36.817079999999997</v>
      </c>
      <c r="AD193">
        <f t="shared" ca="1" si="36"/>
        <v>47.604019999999998</v>
      </c>
      <c r="AE193">
        <f t="shared" ca="1" si="28"/>
        <v>1755</v>
      </c>
      <c r="AF193">
        <f t="shared" ca="1" si="29"/>
        <v>36.1755</v>
      </c>
      <c r="AI193" s="10" t="s">
        <v>39</v>
      </c>
      <c r="AJ193" t="str">
        <f t="shared" si="30"/>
        <v>BMP-2  #192</v>
      </c>
      <c r="AL193" s="10">
        <f t="shared" ca="1" si="31"/>
        <v>623</v>
      </c>
      <c r="AM193" s="10">
        <f t="shared" ca="1" si="32"/>
        <v>47.762300000000003</v>
      </c>
    </row>
    <row r="194" spans="1:39" x14ac:dyDescent="0.25">
      <c r="A194" s="10">
        <v>193</v>
      </c>
      <c r="B194" s="10" t="s">
        <v>237</v>
      </c>
      <c r="C194" s="10" t="s">
        <v>15</v>
      </c>
      <c r="D194" s="10" t="s">
        <v>17</v>
      </c>
      <c r="E194" s="11">
        <v>36.692039999999999</v>
      </c>
      <c r="F194" s="11">
        <v>47.54</v>
      </c>
      <c r="G194" s="12">
        <v>3.0000000000000001E-3</v>
      </c>
      <c r="H194" s="13">
        <v>90</v>
      </c>
      <c r="I194" s="10">
        <v>60</v>
      </c>
      <c r="J194" s="10">
        <v>60</v>
      </c>
      <c r="K194" s="14">
        <v>1.5</v>
      </c>
      <c r="L194" s="10">
        <v>40</v>
      </c>
      <c r="M194" s="15">
        <v>0.7</v>
      </c>
      <c r="N194" s="10">
        <v>30</v>
      </c>
      <c r="O194" s="10">
        <v>7</v>
      </c>
      <c r="U194" s="20">
        <f t="shared" ca="1" si="37"/>
        <v>0.84</v>
      </c>
      <c r="V194" s="20">
        <f t="shared" ca="1" si="37"/>
        <v>0.56000000000000005</v>
      </c>
      <c r="W194" s="20">
        <f t="shared" ca="1" si="37"/>
        <v>0.93</v>
      </c>
      <c r="X194">
        <f t="shared" ca="1" si="33"/>
        <v>36.744430000000001</v>
      </c>
      <c r="Y194">
        <f t="shared" ca="1" si="34"/>
        <v>47.689520000000002</v>
      </c>
      <c r="Z194" s="19">
        <f t="shared" ca="1" si="38"/>
        <v>0.21</v>
      </c>
      <c r="AA194" s="19">
        <f t="shared" ca="1" si="38"/>
        <v>0.56999999999999995</v>
      </c>
      <c r="AB194" s="19">
        <f t="shared" ca="1" si="38"/>
        <v>0.85</v>
      </c>
      <c r="AC194">
        <f t="shared" ca="1" si="35"/>
        <v>36.863250000000001</v>
      </c>
      <c r="AD194">
        <f t="shared" ca="1" si="36"/>
        <v>47.632089999999998</v>
      </c>
      <c r="AE194">
        <f t="shared" ca="1" si="28"/>
        <v>9750</v>
      </c>
      <c r="AF194">
        <f t="shared" ca="1" si="29"/>
        <v>36.975000000000001</v>
      </c>
      <c r="AI194" s="10" t="s">
        <v>39</v>
      </c>
      <c r="AJ194" t="str">
        <f t="shared" si="30"/>
        <v>BMP-2  #193</v>
      </c>
      <c r="AL194" s="10">
        <f t="shared" ca="1" si="31"/>
        <v>734</v>
      </c>
      <c r="AM194" s="10">
        <f t="shared" ca="1" si="32"/>
        <v>47.773400000000002</v>
      </c>
    </row>
    <row r="195" spans="1:39" x14ac:dyDescent="0.25">
      <c r="A195" s="10">
        <v>194</v>
      </c>
      <c r="B195" s="10" t="s">
        <v>238</v>
      </c>
      <c r="C195" s="10" t="s">
        <v>15</v>
      </c>
      <c r="D195" s="10" t="s">
        <v>17</v>
      </c>
      <c r="E195" s="11">
        <v>36.638469999999998</v>
      </c>
      <c r="F195" s="11">
        <v>47.644280000000002</v>
      </c>
      <c r="G195" s="12">
        <v>3.5000000000000001E-3</v>
      </c>
      <c r="H195" s="13">
        <v>90</v>
      </c>
      <c r="I195" s="10">
        <v>50</v>
      </c>
      <c r="J195" s="10">
        <v>50</v>
      </c>
      <c r="K195" s="14">
        <v>1.2</v>
      </c>
      <c r="L195" s="10">
        <v>25</v>
      </c>
      <c r="M195" s="15">
        <v>0.65</v>
      </c>
      <c r="N195" s="10">
        <v>20</v>
      </c>
      <c r="O195" s="10">
        <v>8</v>
      </c>
      <c r="U195" s="20">
        <f t="shared" ca="1" si="37"/>
        <v>0.13</v>
      </c>
      <c r="V195" s="20">
        <f t="shared" ca="1" si="37"/>
        <v>0.08</v>
      </c>
      <c r="W195" s="20">
        <f t="shared" ca="1" si="37"/>
        <v>7.0000000000000007E-2</v>
      </c>
      <c r="X195">
        <f t="shared" ca="1" si="33"/>
        <v>36.575679999999998</v>
      </c>
      <c r="Y195">
        <f t="shared" ca="1" si="34"/>
        <v>47.669739999999997</v>
      </c>
      <c r="Z195" s="19">
        <f t="shared" ca="1" si="38"/>
        <v>0.04</v>
      </c>
      <c r="AA195" s="19">
        <f t="shared" ca="1" si="38"/>
        <v>0.96</v>
      </c>
      <c r="AB195" s="19">
        <f t="shared" ca="1" si="38"/>
        <v>0.05</v>
      </c>
      <c r="AC195">
        <f t="shared" ca="1" si="35"/>
        <v>36.896970000000003</v>
      </c>
      <c r="AD195">
        <f t="shared" ca="1" si="36"/>
        <v>47.602449999999997</v>
      </c>
      <c r="AE195">
        <f t="shared" ref="AE195:AE201" ca="1" si="39">RANDBETWEEN(0,10000)</f>
        <v>9922</v>
      </c>
      <c r="AF195">
        <f t="shared" ref="AF195:AF201" ca="1" si="40">36+AE195/10000</f>
        <v>36.992199999999997</v>
      </c>
      <c r="AI195" s="10" t="s">
        <v>40</v>
      </c>
      <c r="AJ195" t="str">
        <f t="shared" ref="AJ195:AJ226" si="41">CONCATENATE(AI195," #",A195)</f>
        <v>BTR-80  #194</v>
      </c>
      <c r="AL195" s="10">
        <f t="shared" ref="AL195:AL201" ca="1" si="42">RANDBETWEEN(0,1000)</f>
        <v>981</v>
      </c>
      <c r="AM195" s="10">
        <f t="shared" ref="AM195:AM201" ca="1" si="43">47.7+AL195/10000</f>
        <v>47.798100000000005</v>
      </c>
    </row>
    <row r="196" spans="1:39" x14ac:dyDescent="0.25">
      <c r="A196" s="10">
        <v>195</v>
      </c>
      <c r="B196" s="10" t="s">
        <v>239</v>
      </c>
      <c r="C196" s="10" t="s">
        <v>15</v>
      </c>
      <c r="D196" s="10" t="s">
        <v>17</v>
      </c>
      <c r="E196" s="11">
        <v>36.68385</v>
      </c>
      <c r="F196" s="11">
        <v>47.545200000000001</v>
      </c>
      <c r="G196" s="12">
        <v>3.0000000000000001E-3</v>
      </c>
      <c r="H196" s="13">
        <v>90</v>
      </c>
      <c r="I196" s="10">
        <v>60</v>
      </c>
      <c r="J196" s="10">
        <v>60</v>
      </c>
      <c r="K196" s="14">
        <v>1.5</v>
      </c>
      <c r="L196" s="10">
        <v>40</v>
      </c>
      <c r="M196" s="15">
        <v>0.7</v>
      </c>
      <c r="N196" s="10">
        <v>30</v>
      </c>
      <c r="O196" s="10">
        <v>7</v>
      </c>
      <c r="U196" s="20">
        <f t="shared" ca="1" si="37"/>
        <v>0.92</v>
      </c>
      <c r="V196" s="20">
        <f t="shared" ca="1" si="37"/>
        <v>0.27</v>
      </c>
      <c r="W196" s="20">
        <f t="shared" ca="1" si="37"/>
        <v>0.06</v>
      </c>
      <c r="X196">
        <f t="shared" ca="1" si="33"/>
        <v>36.655079999999998</v>
      </c>
      <c r="Y196">
        <f t="shared" ca="1" si="34"/>
        <v>47.602310000000003</v>
      </c>
      <c r="Z196" s="19">
        <f t="shared" ca="1" si="38"/>
        <v>0.62</v>
      </c>
      <c r="AA196" s="19">
        <f t="shared" ca="1" si="38"/>
        <v>0.66</v>
      </c>
      <c r="AB196" s="19">
        <f t="shared" ca="1" si="38"/>
        <v>0.5</v>
      </c>
      <c r="AC196">
        <f t="shared" ca="1" si="35"/>
        <v>36.831240000000001</v>
      </c>
      <c r="AD196">
        <f t="shared" ca="1" si="36"/>
        <v>47.66093</v>
      </c>
      <c r="AE196">
        <f t="shared" ca="1" si="39"/>
        <v>2545</v>
      </c>
      <c r="AF196">
        <f t="shared" ca="1" si="40"/>
        <v>36.2545</v>
      </c>
      <c r="AI196" s="10" t="s">
        <v>39</v>
      </c>
      <c r="AJ196" t="str">
        <f t="shared" si="41"/>
        <v>BMP-2  #195</v>
      </c>
      <c r="AL196" s="10">
        <f t="shared" ca="1" si="42"/>
        <v>391</v>
      </c>
      <c r="AM196" s="10">
        <f t="shared" ca="1" si="43"/>
        <v>47.739100000000001</v>
      </c>
    </row>
    <row r="197" spans="1:39" x14ac:dyDescent="0.25">
      <c r="A197" s="10">
        <v>196</v>
      </c>
      <c r="B197" s="10" t="s">
        <v>240</v>
      </c>
      <c r="C197" s="10" t="s">
        <v>15</v>
      </c>
      <c r="D197" s="10" t="s">
        <v>17</v>
      </c>
      <c r="E197" s="11">
        <v>36.766919999999999</v>
      </c>
      <c r="F197" s="11">
        <v>47.680570000000003</v>
      </c>
      <c r="G197" s="12">
        <v>3.0000000000000001E-3</v>
      </c>
      <c r="H197" s="13">
        <v>90</v>
      </c>
      <c r="I197" s="10">
        <v>60</v>
      </c>
      <c r="J197" s="10">
        <v>60</v>
      </c>
      <c r="K197" s="14">
        <v>1.5</v>
      </c>
      <c r="L197" s="10">
        <v>40</v>
      </c>
      <c r="M197" s="15">
        <v>0.7</v>
      </c>
      <c r="N197" s="10">
        <v>30</v>
      </c>
      <c r="O197" s="10">
        <v>7</v>
      </c>
      <c r="U197" s="20">
        <f t="shared" ca="1" si="37"/>
        <v>0.21</v>
      </c>
      <c r="V197" s="20">
        <f t="shared" ca="1" si="37"/>
        <v>7.0000000000000007E-2</v>
      </c>
      <c r="W197" s="20">
        <f t="shared" ca="1" si="37"/>
        <v>0.23</v>
      </c>
      <c r="X197">
        <f t="shared" ca="1" si="33"/>
        <v>36.585709999999999</v>
      </c>
      <c r="Y197">
        <f t="shared" ca="1" si="34"/>
        <v>47.667459999999998</v>
      </c>
      <c r="Z197" s="19">
        <f t="shared" ca="1" si="38"/>
        <v>0.19</v>
      </c>
      <c r="AA197" s="19">
        <f t="shared" ca="1" si="38"/>
        <v>0.11</v>
      </c>
      <c r="AB197" s="19">
        <f t="shared" ca="1" si="38"/>
        <v>0.33</v>
      </c>
      <c r="AC197">
        <f t="shared" ca="1" si="35"/>
        <v>36.799750000000003</v>
      </c>
      <c r="AD197">
        <f t="shared" ca="1" si="36"/>
        <v>47.605469999999997</v>
      </c>
      <c r="AE197">
        <f t="shared" ca="1" si="39"/>
        <v>3409</v>
      </c>
      <c r="AF197">
        <f t="shared" ca="1" si="40"/>
        <v>36.340899999999998</v>
      </c>
      <c r="AI197" s="10" t="s">
        <v>39</v>
      </c>
      <c r="AJ197" t="str">
        <f t="shared" si="41"/>
        <v>BMP-2  #196</v>
      </c>
      <c r="AL197" s="10">
        <f t="shared" ca="1" si="42"/>
        <v>902</v>
      </c>
      <c r="AM197" s="10">
        <f t="shared" ca="1" si="43"/>
        <v>47.790200000000006</v>
      </c>
    </row>
    <row r="198" spans="1:39" x14ac:dyDescent="0.25">
      <c r="A198" s="10">
        <v>197</v>
      </c>
      <c r="B198" s="10" t="s">
        <v>241</v>
      </c>
      <c r="C198" s="10" t="s">
        <v>15</v>
      </c>
      <c r="D198" s="10" t="s">
        <v>17</v>
      </c>
      <c r="E198" s="11">
        <v>36.687989999999999</v>
      </c>
      <c r="F198" s="11">
        <v>47.69267</v>
      </c>
      <c r="G198" s="12">
        <v>3.5000000000000001E-3</v>
      </c>
      <c r="H198" s="13">
        <v>90</v>
      </c>
      <c r="I198" s="10">
        <v>50</v>
      </c>
      <c r="J198" s="10">
        <v>50</v>
      </c>
      <c r="K198" s="14">
        <v>1.2</v>
      </c>
      <c r="L198" s="10">
        <v>25</v>
      </c>
      <c r="M198" s="15">
        <v>0.65</v>
      </c>
      <c r="N198" s="10">
        <v>20</v>
      </c>
      <c r="O198" s="10">
        <v>8</v>
      </c>
      <c r="U198" s="20">
        <f t="shared" ca="1" si="37"/>
        <v>0.61</v>
      </c>
      <c r="V198" s="20">
        <f t="shared" ca="1" si="37"/>
        <v>0.44</v>
      </c>
      <c r="W198" s="20">
        <f t="shared" ca="1" si="37"/>
        <v>0.24</v>
      </c>
      <c r="X198">
        <f t="shared" ca="1" si="33"/>
        <v>36.682250000000003</v>
      </c>
      <c r="Y198">
        <f t="shared" ca="1" si="34"/>
        <v>47.599170000000001</v>
      </c>
      <c r="Z198" s="19">
        <f t="shared" ca="1" si="38"/>
        <v>0.08</v>
      </c>
      <c r="AA198" s="19">
        <f t="shared" ca="1" si="38"/>
        <v>0.94</v>
      </c>
      <c r="AB198" s="19">
        <f t="shared" ca="1" si="38"/>
        <v>0.6</v>
      </c>
      <c r="AC198">
        <f t="shared" ca="1" si="35"/>
        <v>36.895429999999998</v>
      </c>
      <c r="AD198">
        <f t="shared" ca="1" si="36"/>
        <v>47.629089999999998</v>
      </c>
      <c r="AE198">
        <f t="shared" ca="1" si="39"/>
        <v>9012</v>
      </c>
      <c r="AF198">
        <f t="shared" ca="1" si="40"/>
        <v>36.901200000000003</v>
      </c>
      <c r="AI198" s="10" t="s">
        <v>40</v>
      </c>
      <c r="AJ198" t="str">
        <f t="shared" si="41"/>
        <v>BTR-80  #197</v>
      </c>
      <c r="AL198" s="10">
        <f t="shared" ca="1" si="42"/>
        <v>580</v>
      </c>
      <c r="AM198" s="10">
        <f t="shared" ca="1" si="43"/>
        <v>47.758000000000003</v>
      </c>
    </row>
    <row r="199" spans="1:39" x14ac:dyDescent="0.25">
      <c r="A199" s="10">
        <v>198</v>
      </c>
      <c r="B199" s="10" t="s">
        <v>242</v>
      </c>
      <c r="C199" s="10" t="s">
        <v>15</v>
      </c>
      <c r="D199" s="10" t="s">
        <v>18</v>
      </c>
      <c r="E199" s="11">
        <v>36.724269999999997</v>
      </c>
      <c r="F199" s="11">
        <v>47.577590000000001</v>
      </c>
      <c r="G199" s="12">
        <v>1.5E-3</v>
      </c>
      <c r="H199" s="13">
        <v>90</v>
      </c>
      <c r="I199" s="10">
        <v>100</v>
      </c>
      <c r="J199" s="10">
        <v>100</v>
      </c>
      <c r="K199" s="14">
        <v>0.4</v>
      </c>
      <c r="L199" s="10">
        <v>15</v>
      </c>
      <c r="M199" s="15">
        <v>0.6</v>
      </c>
      <c r="N199" s="10">
        <v>5</v>
      </c>
      <c r="O199" s="10">
        <v>10</v>
      </c>
      <c r="U199" s="20">
        <f t="shared" ca="1" si="37"/>
        <v>0.99</v>
      </c>
      <c r="V199" s="20">
        <f t="shared" ca="1" si="37"/>
        <v>0.18</v>
      </c>
      <c r="W199" s="20">
        <f t="shared" ca="1" si="37"/>
        <v>0.41</v>
      </c>
      <c r="X199">
        <f t="shared" ca="1" si="33"/>
        <v>36.659820000000003</v>
      </c>
      <c r="Y199">
        <f t="shared" ca="1" si="34"/>
        <v>47.649940000000001</v>
      </c>
      <c r="Z199" s="19">
        <f t="shared" ca="1" si="38"/>
        <v>0.59</v>
      </c>
      <c r="AA199" s="19">
        <f t="shared" ca="1" si="38"/>
        <v>0.11</v>
      </c>
      <c r="AB199" s="19">
        <f t="shared" ca="1" si="38"/>
        <v>0.55000000000000004</v>
      </c>
      <c r="AC199">
        <f t="shared" ca="1" si="35"/>
        <v>36.781509999999997</v>
      </c>
      <c r="AD199">
        <f t="shared" ca="1" si="36"/>
        <v>47.625700000000002</v>
      </c>
      <c r="AE199">
        <f t="shared" ca="1" si="39"/>
        <v>9087</v>
      </c>
      <c r="AF199">
        <f t="shared" ca="1" si="40"/>
        <v>36.908700000000003</v>
      </c>
      <c r="AI199" s="10" t="s">
        <v>41</v>
      </c>
      <c r="AJ199" t="str">
        <f t="shared" si="41"/>
        <v>Infantry Squad  #198</v>
      </c>
      <c r="AL199" s="10">
        <f t="shared" ca="1" si="42"/>
        <v>810</v>
      </c>
      <c r="AM199" s="10">
        <f t="shared" ca="1" si="43"/>
        <v>47.781000000000006</v>
      </c>
    </row>
    <row r="200" spans="1:39" x14ac:dyDescent="0.25">
      <c r="A200" s="10">
        <v>199</v>
      </c>
      <c r="B200" s="10" t="s">
        <v>243</v>
      </c>
      <c r="C200" s="10" t="s">
        <v>15</v>
      </c>
      <c r="D200" s="10" t="s">
        <v>18</v>
      </c>
      <c r="E200" s="11">
        <v>36.654760000000003</v>
      </c>
      <c r="F200" s="11">
        <v>47.540149999999997</v>
      </c>
      <c r="G200" s="12">
        <v>1.5E-3</v>
      </c>
      <c r="H200" s="13">
        <v>90</v>
      </c>
      <c r="I200" s="10">
        <v>100</v>
      </c>
      <c r="J200" s="10">
        <v>100</v>
      </c>
      <c r="K200" s="14">
        <v>0.4</v>
      </c>
      <c r="L200" s="10">
        <v>15</v>
      </c>
      <c r="M200" s="15">
        <v>0.6</v>
      </c>
      <c r="N200" s="10">
        <v>5</v>
      </c>
      <c r="O200" s="10">
        <v>10</v>
      </c>
      <c r="U200" s="20">
        <f t="shared" ca="1" si="37"/>
        <v>0.72</v>
      </c>
      <c r="V200" s="20">
        <f t="shared" ca="1" si="37"/>
        <v>0.82</v>
      </c>
      <c r="W200" s="20">
        <f t="shared" ca="1" si="37"/>
        <v>0.82</v>
      </c>
      <c r="X200">
        <f t="shared" ca="1" si="33"/>
        <v>36.764809999999997</v>
      </c>
      <c r="Y200">
        <f t="shared" ca="1" si="34"/>
        <v>47.667400000000001</v>
      </c>
      <c r="Z200" s="19">
        <f t="shared" ca="1" si="38"/>
        <v>0.93</v>
      </c>
      <c r="AA200" s="19">
        <f t="shared" ca="1" si="38"/>
        <v>0.78</v>
      </c>
      <c r="AB200" s="19">
        <f t="shared" ca="1" si="38"/>
        <v>0.84</v>
      </c>
      <c r="AC200">
        <f t="shared" ca="1" si="35"/>
        <v>36.80829</v>
      </c>
      <c r="AD200">
        <f t="shared" ca="1" si="36"/>
        <v>47.681249999999999</v>
      </c>
      <c r="AE200">
        <f t="shared" ca="1" si="39"/>
        <v>6454</v>
      </c>
      <c r="AF200">
        <f t="shared" ca="1" si="40"/>
        <v>36.645400000000002</v>
      </c>
      <c r="AI200" s="10" t="s">
        <v>41</v>
      </c>
      <c r="AJ200" t="str">
        <f t="shared" si="41"/>
        <v>Infantry Squad  #199</v>
      </c>
      <c r="AL200" s="10">
        <f t="shared" ca="1" si="42"/>
        <v>501</v>
      </c>
      <c r="AM200" s="10">
        <f t="shared" ca="1" si="43"/>
        <v>47.750100000000003</v>
      </c>
    </row>
    <row r="201" spans="1:39" x14ac:dyDescent="0.25">
      <c r="A201" s="10">
        <v>200</v>
      </c>
      <c r="B201" s="10" t="s">
        <v>244</v>
      </c>
      <c r="C201" s="10" t="s">
        <v>15</v>
      </c>
      <c r="D201" s="10" t="s">
        <v>18</v>
      </c>
      <c r="E201" s="11">
        <v>36.674259999999997</v>
      </c>
      <c r="F201" s="11">
        <v>47.557310000000001</v>
      </c>
      <c r="G201" s="12">
        <v>1.5E-3</v>
      </c>
      <c r="H201" s="13">
        <v>90</v>
      </c>
      <c r="I201" s="10">
        <v>100</v>
      </c>
      <c r="J201" s="10">
        <v>100</v>
      </c>
      <c r="K201" s="14">
        <v>0.4</v>
      </c>
      <c r="L201" s="10">
        <v>15</v>
      </c>
      <c r="M201" s="15">
        <v>0.6</v>
      </c>
      <c r="N201" s="10">
        <v>5</v>
      </c>
      <c r="O201" s="10">
        <v>10</v>
      </c>
      <c r="U201" s="20">
        <f t="shared" ca="1" si="37"/>
        <v>0.3</v>
      </c>
      <c r="V201" s="20">
        <f t="shared" ca="1" si="37"/>
        <v>0.7</v>
      </c>
      <c r="W201" s="20">
        <f t="shared" ca="1" si="37"/>
        <v>0.67</v>
      </c>
      <c r="X201">
        <f t="shared" ca="1" si="33"/>
        <v>36.628450000000001</v>
      </c>
      <c r="Y201">
        <f t="shared" ca="1" si="34"/>
        <v>47.560279999999999</v>
      </c>
      <c r="Z201" s="19">
        <f t="shared" ca="1" si="38"/>
        <v>0.92</v>
      </c>
      <c r="AA201" s="19">
        <f t="shared" ca="1" si="38"/>
        <v>0.94</v>
      </c>
      <c r="AB201" s="19">
        <f t="shared" ca="1" si="38"/>
        <v>0.15</v>
      </c>
      <c r="AC201">
        <f t="shared" ca="1" si="35"/>
        <v>36.880890000000001</v>
      </c>
      <c r="AD201">
        <f t="shared" ca="1" si="36"/>
        <v>47.655749999999998</v>
      </c>
      <c r="AE201">
        <f t="shared" ca="1" si="39"/>
        <v>8979</v>
      </c>
      <c r="AF201">
        <f t="shared" ca="1" si="40"/>
        <v>36.8979</v>
      </c>
      <c r="AI201" s="10" t="s">
        <v>41</v>
      </c>
      <c r="AJ201" t="str">
        <f t="shared" si="41"/>
        <v>Infantry Squad  #200</v>
      </c>
      <c r="AL201" s="10">
        <f t="shared" ca="1" si="42"/>
        <v>410</v>
      </c>
      <c r="AM201" s="10">
        <f t="shared" ca="1" si="43"/>
        <v>47.741</v>
      </c>
    </row>
    <row r="202" spans="1:39" x14ac:dyDescent="0.25">
      <c r="A202" s="4">
        <v>801</v>
      </c>
      <c r="B202" s="4" t="s">
        <v>245</v>
      </c>
      <c r="C202" s="4" t="s">
        <v>19</v>
      </c>
      <c r="D202" s="4" t="s">
        <v>16</v>
      </c>
      <c r="E202" s="5">
        <v>36.825580000000002</v>
      </c>
      <c r="F202" s="5">
        <v>47.655749999999998</v>
      </c>
      <c r="G202" s="6">
        <v>2.2000000000000001E-3</v>
      </c>
      <c r="H202" s="7">
        <v>270</v>
      </c>
      <c r="I202" s="4">
        <v>120</v>
      </c>
      <c r="J202" s="4">
        <v>120</v>
      </c>
      <c r="K202" s="8">
        <v>2.8</v>
      </c>
      <c r="L202" s="4">
        <v>90</v>
      </c>
      <c r="M202" s="9">
        <v>0.8</v>
      </c>
      <c r="N202" s="4">
        <v>90</v>
      </c>
      <c r="O202" s="4">
        <v>3</v>
      </c>
      <c r="U202" s="20">
        <f t="shared" ca="1" si="37"/>
        <v>0.77</v>
      </c>
      <c r="V202" s="20">
        <f t="shared" ca="1" si="37"/>
        <v>0.12</v>
      </c>
      <c r="W202" s="20">
        <f t="shared" ca="1" si="37"/>
        <v>0.54</v>
      </c>
      <c r="X202">
        <f t="shared" ca="1" si="33"/>
        <v>36.653350000000003</v>
      </c>
      <c r="Y202">
        <f t="shared" ca="1" si="34"/>
        <v>47.668129999999998</v>
      </c>
      <c r="Z202" s="19">
        <f t="shared" ca="1" si="38"/>
        <v>0.74</v>
      </c>
      <c r="AA202" s="19">
        <f t="shared" ca="1" si="38"/>
        <v>0.37</v>
      </c>
      <c r="AB202" s="19">
        <f t="shared" ca="1" si="38"/>
        <v>0.22</v>
      </c>
      <c r="AC202">
        <f t="shared" ca="1" si="35"/>
        <v>36.827860000000001</v>
      </c>
      <c r="AD202">
        <f t="shared" ca="1" si="36"/>
        <v>47.637099999999997</v>
      </c>
      <c r="AE202">
        <f t="shared" ref="AE202:AE234" ca="1" si="44">RANDBETWEEN(0,10000)</f>
        <v>2126</v>
      </c>
      <c r="AF202">
        <f t="shared" ref="AF202:AF234" ca="1" si="45">36+AE202/10000</f>
        <v>36.212600000000002</v>
      </c>
      <c r="AI202" s="4" t="s">
        <v>42</v>
      </c>
      <c r="AJ202" t="str">
        <f t="shared" si="41"/>
        <v>M1A2 Abrams  #801</v>
      </c>
      <c r="AL202" s="16">
        <f t="shared" ref="AL202:AL234" ca="1" si="46">RANDBETWEEN(0,1000)</f>
        <v>612</v>
      </c>
      <c r="AM202" s="16">
        <f ca="1">47.4+AL202/10000</f>
        <v>47.461199999999998</v>
      </c>
    </row>
    <row r="203" spans="1:39" x14ac:dyDescent="0.25">
      <c r="A203" s="4">
        <v>802</v>
      </c>
      <c r="B203" s="4" t="s">
        <v>246</v>
      </c>
      <c r="C203" s="4" t="s">
        <v>19</v>
      </c>
      <c r="D203" s="4" t="s">
        <v>16</v>
      </c>
      <c r="E203" s="5">
        <v>36.869999999999997</v>
      </c>
      <c r="F203" s="5">
        <v>47.6096</v>
      </c>
      <c r="G203" s="6">
        <v>2.2000000000000001E-3</v>
      </c>
      <c r="H203" s="7">
        <v>270</v>
      </c>
      <c r="I203" s="4">
        <v>120</v>
      </c>
      <c r="J203" s="4">
        <v>120</v>
      </c>
      <c r="K203" s="8">
        <v>2.8</v>
      </c>
      <c r="L203" s="4">
        <v>90</v>
      </c>
      <c r="M203" s="9">
        <v>0.8</v>
      </c>
      <c r="N203" s="4">
        <v>90</v>
      </c>
      <c r="O203" s="4">
        <v>3</v>
      </c>
      <c r="U203" s="20">
        <f t="shared" ca="1" si="37"/>
        <v>0.01</v>
      </c>
      <c r="V203" s="20">
        <f t="shared" ca="1" si="37"/>
        <v>0.46</v>
      </c>
      <c r="W203" s="20">
        <f t="shared" ca="1" si="37"/>
        <v>0.81</v>
      </c>
      <c r="X203">
        <f t="shared" ca="1" si="33"/>
        <v>36.642049999999998</v>
      </c>
      <c r="Y203">
        <f t="shared" ca="1" si="34"/>
        <v>47.577240000000003</v>
      </c>
      <c r="Z203" s="19">
        <f t="shared" ca="1" si="38"/>
        <v>0.47</v>
      </c>
      <c r="AA203" s="19">
        <f t="shared" ca="1" si="38"/>
        <v>0.63</v>
      </c>
      <c r="AB203" s="19">
        <f t="shared" ca="1" si="38"/>
        <v>0.86</v>
      </c>
      <c r="AC203">
        <f t="shared" ca="1" si="35"/>
        <v>36.800800000000002</v>
      </c>
      <c r="AD203">
        <f t="shared" ca="1" si="36"/>
        <v>47.673819999999999</v>
      </c>
      <c r="AE203">
        <f t="shared" ca="1" si="44"/>
        <v>68</v>
      </c>
      <c r="AF203">
        <f t="shared" ca="1" si="45"/>
        <v>36.006799999999998</v>
      </c>
      <c r="AI203" s="4" t="s">
        <v>42</v>
      </c>
      <c r="AJ203" t="str">
        <f t="shared" si="41"/>
        <v>M1A2 Abrams  #802</v>
      </c>
      <c r="AL203" s="16">
        <f t="shared" ca="1" si="46"/>
        <v>734</v>
      </c>
      <c r="AM203" s="16">
        <f t="shared" ref="AM203:AM266" ca="1" si="47">47.4+AL203/10000</f>
        <v>47.473399999999998</v>
      </c>
    </row>
    <row r="204" spans="1:39" x14ac:dyDescent="0.25">
      <c r="A204" s="4">
        <v>803</v>
      </c>
      <c r="B204" s="4" t="s">
        <v>247</v>
      </c>
      <c r="C204" s="4" t="s">
        <v>19</v>
      </c>
      <c r="D204" s="4" t="s">
        <v>16</v>
      </c>
      <c r="E204" s="5">
        <v>36.817410000000002</v>
      </c>
      <c r="F204" s="5">
        <v>47.671619999999997</v>
      </c>
      <c r="G204" s="6">
        <v>2.2000000000000001E-3</v>
      </c>
      <c r="H204" s="7">
        <v>270</v>
      </c>
      <c r="I204" s="4">
        <v>120</v>
      </c>
      <c r="J204" s="4">
        <v>120</v>
      </c>
      <c r="K204" s="8">
        <v>2.8</v>
      </c>
      <c r="L204" s="4">
        <v>90</v>
      </c>
      <c r="M204" s="9">
        <v>0.8</v>
      </c>
      <c r="N204" s="4">
        <v>90</v>
      </c>
      <c r="O204" s="4">
        <v>3</v>
      </c>
      <c r="U204" s="20">
        <f t="shared" ca="1" si="37"/>
        <v>0.73</v>
      </c>
      <c r="V204" s="20">
        <f t="shared" ca="1" si="37"/>
        <v>0.11</v>
      </c>
      <c r="W204" s="20">
        <f t="shared" ca="1" si="37"/>
        <v>0.09</v>
      </c>
      <c r="X204">
        <f t="shared" ca="1" si="33"/>
        <v>36.636150000000001</v>
      </c>
      <c r="Y204">
        <f t="shared" ca="1" si="34"/>
        <v>47.63964</v>
      </c>
      <c r="Z204" s="19">
        <f t="shared" ca="1" si="38"/>
        <v>0.49</v>
      </c>
      <c r="AA204" s="19">
        <f t="shared" ca="1" si="38"/>
        <v>0.57999999999999996</v>
      </c>
      <c r="AB204" s="19">
        <f t="shared" ca="1" si="38"/>
        <v>0.14000000000000001</v>
      </c>
      <c r="AC204">
        <f t="shared" ca="1" si="35"/>
        <v>36.853569999999998</v>
      </c>
      <c r="AD204">
        <f t="shared" ca="1" si="36"/>
        <v>47.643410000000003</v>
      </c>
      <c r="AE204">
        <f t="shared" ca="1" si="44"/>
        <v>6909</v>
      </c>
      <c r="AF204">
        <f t="shared" ca="1" si="45"/>
        <v>36.690899999999999</v>
      </c>
      <c r="AI204" s="4" t="s">
        <v>42</v>
      </c>
      <c r="AJ204" t="str">
        <f t="shared" si="41"/>
        <v>M1A2 Abrams  #803</v>
      </c>
      <c r="AL204" s="16">
        <f t="shared" ca="1" si="46"/>
        <v>318</v>
      </c>
      <c r="AM204" s="16">
        <f t="shared" ca="1" si="47"/>
        <v>47.431799999999996</v>
      </c>
    </row>
    <row r="205" spans="1:39" x14ac:dyDescent="0.25">
      <c r="A205" s="4">
        <v>804</v>
      </c>
      <c r="B205" s="4" t="s">
        <v>248</v>
      </c>
      <c r="C205" s="4" t="s">
        <v>19</v>
      </c>
      <c r="D205" s="4" t="s">
        <v>17</v>
      </c>
      <c r="E205" s="5">
        <v>36.78969</v>
      </c>
      <c r="F205" s="5">
        <v>47.608069999999998</v>
      </c>
      <c r="G205" s="6">
        <v>3.2000000000000002E-3</v>
      </c>
      <c r="H205" s="7">
        <v>270</v>
      </c>
      <c r="I205" s="4">
        <v>65</v>
      </c>
      <c r="J205" s="4">
        <v>65</v>
      </c>
      <c r="K205" s="8">
        <v>1.8</v>
      </c>
      <c r="L205" s="4">
        <v>45</v>
      </c>
      <c r="M205" s="9">
        <v>0.73</v>
      </c>
      <c r="N205" s="4">
        <v>35</v>
      </c>
      <c r="O205" s="4">
        <v>6</v>
      </c>
      <c r="U205" s="20">
        <f t="shared" ca="1" si="37"/>
        <v>0.39</v>
      </c>
      <c r="V205" s="20">
        <f t="shared" ca="1" si="37"/>
        <v>0.63</v>
      </c>
      <c r="W205" s="20">
        <f t="shared" ca="1" si="37"/>
        <v>0.09</v>
      </c>
      <c r="X205">
        <f t="shared" ca="1" si="33"/>
        <v>36.534910000000004</v>
      </c>
      <c r="Y205">
        <f t="shared" ca="1" si="34"/>
        <v>47.613480000000003</v>
      </c>
      <c r="Z205" s="19">
        <f t="shared" ca="1" si="38"/>
        <v>0.56999999999999995</v>
      </c>
      <c r="AA205" s="19">
        <f t="shared" ca="1" si="38"/>
        <v>0.25</v>
      </c>
      <c r="AB205" s="19">
        <f t="shared" ca="1" si="38"/>
        <v>0.41</v>
      </c>
      <c r="AC205">
        <f t="shared" ca="1" si="35"/>
        <v>36.804499999999997</v>
      </c>
      <c r="AD205">
        <f t="shared" ca="1" si="36"/>
        <v>47.635249999999999</v>
      </c>
      <c r="AE205">
        <f t="shared" ca="1" si="44"/>
        <v>9148</v>
      </c>
      <c r="AF205">
        <f t="shared" ca="1" si="45"/>
        <v>36.9148</v>
      </c>
      <c r="AI205" s="4" t="s">
        <v>43</v>
      </c>
      <c r="AJ205" t="str">
        <f t="shared" si="41"/>
        <v>M2 Bradley  #804</v>
      </c>
      <c r="AL205" s="16">
        <f t="shared" ca="1" si="46"/>
        <v>805</v>
      </c>
      <c r="AM205" s="16">
        <f t="shared" ca="1" si="47"/>
        <v>47.480499999999999</v>
      </c>
    </row>
    <row r="206" spans="1:39" x14ac:dyDescent="0.25">
      <c r="A206" s="4">
        <v>805</v>
      </c>
      <c r="B206" s="4" t="s">
        <v>249</v>
      </c>
      <c r="C206" s="4" t="s">
        <v>19</v>
      </c>
      <c r="D206" s="4" t="s">
        <v>17</v>
      </c>
      <c r="E206" s="5">
        <v>36.803510000000003</v>
      </c>
      <c r="F206" s="5">
        <v>47.620019999999997</v>
      </c>
      <c r="G206" s="6">
        <v>3.2000000000000002E-3</v>
      </c>
      <c r="H206" s="7">
        <v>270</v>
      </c>
      <c r="I206" s="4">
        <v>65</v>
      </c>
      <c r="J206" s="4">
        <v>65</v>
      </c>
      <c r="K206" s="8">
        <v>1.8</v>
      </c>
      <c r="L206" s="4">
        <v>45</v>
      </c>
      <c r="M206" s="9">
        <v>0.73</v>
      </c>
      <c r="N206" s="4">
        <v>35</v>
      </c>
      <c r="O206" s="4">
        <v>6</v>
      </c>
      <c r="U206" s="20">
        <f t="shared" ca="1" si="37"/>
        <v>0.7</v>
      </c>
      <c r="V206" s="20">
        <f t="shared" ca="1" si="37"/>
        <v>1</v>
      </c>
      <c r="W206" s="20">
        <f t="shared" ca="1" si="37"/>
        <v>0.63</v>
      </c>
      <c r="X206">
        <f t="shared" ca="1" si="33"/>
        <v>36.762999999999998</v>
      </c>
      <c r="Y206">
        <f t="shared" ca="1" si="34"/>
        <v>47.625999999999998</v>
      </c>
      <c r="Z206" s="19">
        <f t="shared" ca="1" si="38"/>
        <v>0.24</v>
      </c>
      <c r="AA206" s="19">
        <f t="shared" ca="1" si="38"/>
        <v>0.79</v>
      </c>
      <c r="AB206" s="19">
        <f t="shared" ca="1" si="38"/>
        <v>0.48</v>
      </c>
      <c r="AC206">
        <f t="shared" ca="1" si="35"/>
        <v>36.883319999999998</v>
      </c>
      <c r="AD206">
        <f t="shared" ca="1" si="36"/>
        <v>47.62133</v>
      </c>
      <c r="AE206">
        <f t="shared" ca="1" si="44"/>
        <v>8061</v>
      </c>
      <c r="AF206">
        <f t="shared" ca="1" si="45"/>
        <v>36.806100000000001</v>
      </c>
      <c r="AI206" s="4" t="s">
        <v>43</v>
      </c>
      <c r="AJ206" t="str">
        <f t="shared" si="41"/>
        <v>M2 Bradley  #805</v>
      </c>
      <c r="AL206" s="16">
        <f t="shared" ca="1" si="46"/>
        <v>464</v>
      </c>
      <c r="AM206" s="16">
        <f t="shared" ca="1" si="47"/>
        <v>47.446399999999997</v>
      </c>
    </row>
    <row r="207" spans="1:39" x14ac:dyDescent="0.25">
      <c r="A207" s="4">
        <v>806</v>
      </c>
      <c r="B207" s="4" t="s">
        <v>250</v>
      </c>
      <c r="C207" s="4" t="s">
        <v>19</v>
      </c>
      <c r="D207" s="4" t="s">
        <v>17</v>
      </c>
      <c r="E207" s="5">
        <v>36.810890000000001</v>
      </c>
      <c r="F207" s="5">
        <v>47.641359999999999</v>
      </c>
      <c r="G207" s="6">
        <v>3.8E-3</v>
      </c>
      <c r="H207" s="7">
        <v>270</v>
      </c>
      <c r="I207" s="4">
        <v>55</v>
      </c>
      <c r="J207" s="4">
        <v>55</v>
      </c>
      <c r="K207" s="8">
        <v>1.5</v>
      </c>
      <c r="L207" s="4">
        <v>30</v>
      </c>
      <c r="M207" s="9">
        <v>0.68</v>
      </c>
      <c r="N207" s="4">
        <v>25</v>
      </c>
      <c r="O207" s="4">
        <v>7</v>
      </c>
      <c r="U207" s="20">
        <f t="shared" ca="1" si="37"/>
        <v>0.55000000000000004</v>
      </c>
      <c r="V207" s="20">
        <f t="shared" ca="1" si="37"/>
        <v>0.81</v>
      </c>
      <c r="W207" s="20">
        <f t="shared" ca="1" si="37"/>
        <v>0.26</v>
      </c>
      <c r="X207">
        <f t="shared" ca="1" si="33"/>
        <v>36.7134</v>
      </c>
      <c r="Y207">
        <f t="shared" ca="1" si="34"/>
        <v>47.566800000000001</v>
      </c>
      <c r="Z207" s="19">
        <f t="shared" ca="1" si="38"/>
        <v>0.86</v>
      </c>
      <c r="AA207" s="19">
        <f t="shared" ca="1" si="38"/>
        <v>0.1</v>
      </c>
      <c r="AB207" s="19">
        <f t="shared" ca="1" si="38"/>
        <v>0.45</v>
      </c>
      <c r="AC207">
        <f t="shared" ca="1" si="35"/>
        <v>36.783200000000001</v>
      </c>
      <c r="AD207">
        <f t="shared" ca="1" si="36"/>
        <v>47.622929999999997</v>
      </c>
      <c r="AE207">
        <f t="shared" ca="1" si="44"/>
        <v>7375</v>
      </c>
      <c r="AF207">
        <f t="shared" ca="1" si="45"/>
        <v>36.737499999999997</v>
      </c>
      <c r="AI207" s="4" t="s">
        <v>44</v>
      </c>
      <c r="AJ207" t="str">
        <f t="shared" si="41"/>
        <v>Stryker  #806</v>
      </c>
      <c r="AL207" s="16">
        <f t="shared" ca="1" si="46"/>
        <v>588</v>
      </c>
      <c r="AM207" s="16">
        <f t="shared" ca="1" si="47"/>
        <v>47.458799999999997</v>
      </c>
    </row>
    <row r="208" spans="1:39" x14ac:dyDescent="0.25">
      <c r="A208" s="4">
        <v>807</v>
      </c>
      <c r="B208" s="4" t="s">
        <v>251</v>
      </c>
      <c r="C208" s="4" t="s">
        <v>19</v>
      </c>
      <c r="D208" s="4" t="s">
        <v>18</v>
      </c>
      <c r="E208" s="5">
        <v>36.814540000000001</v>
      </c>
      <c r="F208" s="5">
        <v>47.682980000000001</v>
      </c>
      <c r="G208" s="6">
        <v>1.5E-3</v>
      </c>
      <c r="H208" s="7">
        <v>270</v>
      </c>
      <c r="I208" s="4">
        <v>100</v>
      </c>
      <c r="J208" s="4">
        <v>100</v>
      </c>
      <c r="K208" s="8">
        <v>0.4</v>
      </c>
      <c r="L208" s="4">
        <v>15</v>
      </c>
      <c r="M208" s="9">
        <v>0.6</v>
      </c>
      <c r="N208" s="4">
        <v>5</v>
      </c>
      <c r="O208" s="4">
        <v>10</v>
      </c>
      <c r="U208" s="20">
        <f t="shared" ca="1" si="37"/>
        <v>0.51</v>
      </c>
      <c r="V208" s="20">
        <f t="shared" ca="1" si="37"/>
        <v>0.28999999999999998</v>
      </c>
      <c r="W208" s="20">
        <f t="shared" ca="1" si="37"/>
        <v>0.22</v>
      </c>
      <c r="X208">
        <f t="shared" ca="1" si="33"/>
        <v>36.665700000000001</v>
      </c>
      <c r="Y208">
        <f t="shared" ca="1" si="34"/>
        <v>47.615989999999996</v>
      </c>
      <c r="Z208" s="19">
        <f t="shared" ca="1" si="38"/>
        <v>0.23</v>
      </c>
      <c r="AA208" s="19">
        <f t="shared" ca="1" si="38"/>
        <v>0.25</v>
      </c>
      <c r="AB208" s="19">
        <f t="shared" ca="1" si="38"/>
        <v>0.94</v>
      </c>
      <c r="AC208">
        <f t="shared" ca="1" si="35"/>
        <v>36.825000000000003</v>
      </c>
      <c r="AD208">
        <f t="shared" ca="1" si="36"/>
        <v>47.6235</v>
      </c>
      <c r="AE208">
        <f t="shared" ca="1" si="44"/>
        <v>2312</v>
      </c>
      <c r="AF208">
        <f t="shared" ca="1" si="45"/>
        <v>36.231200000000001</v>
      </c>
      <c r="AI208" s="4" t="s">
        <v>41</v>
      </c>
      <c r="AJ208" t="str">
        <f t="shared" si="41"/>
        <v>Infantry Squad  #807</v>
      </c>
      <c r="AL208" s="16">
        <f t="shared" ca="1" si="46"/>
        <v>96</v>
      </c>
      <c r="AM208" s="16">
        <f t="shared" ca="1" si="47"/>
        <v>47.409599999999998</v>
      </c>
    </row>
    <row r="209" spans="1:39" x14ac:dyDescent="0.25">
      <c r="A209" s="4">
        <v>808</v>
      </c>
      <c r="B209" s="4" t="s">
        <v>252</v>
      </c>
      <c r="C209" s="4" t="s">
        <v>19</v>
      </c>
      <c r="D209" s="4" t="s">
        <v>18</v>
      </c>
      <c r="E209" s="5">
        <v>36.78</v>
      </c>
      <c r="F209" s="5">
        <v>47.606999999999999</v>
      </c>
      <c r="G209" s="6">
        <v>1.5E-3</v>
      </c>
      <c r="H209" s="7">
        <v>270</v>
      </c>
      <c r="I209" s="4">
        <v>100</v>
      </c>
      <c r="J209" s="4">
        <v>100</v>
      </c>
      <c r="K209" s="8">
        <v>0.4</v>
      </c>
      <c r="L209" s="4">
        <v>15</v>
      </c>
      <c r="M209" s="9">
        <v>0.6</v>
      </c>
      <c r="N209" s="4">
        <v>5</v>
      </c>
      <c r="O209" s="4">
        <v>10</v>
      </c>
      <c r="U209" s="20">
        <f t="shared" ca="1" si="37"/>
        <v>0.8</v>
      </c>
      <c r="V209" s="20">
        <f t="shared" ca="1" si="37"/>
        <v>0.64</v>
      </c>
      <c r="W209" s="20">
        <f t="shared" ca="1" si="37"/>
        <v>0.28000000000000003</v>
      </c>
      <c r="X209">
        <f t="shared" ca="1" si="33"/>
        <v>36.702399999999997</v>
      </c>
      <c r="Y209">
        <f t="shared" ca="1" si="34"/>
        <v>47.584800000000001</v>
      </c>
      <c r="Z209" s="19">
        <f t="shared" ca="1" si="38"/>
        <v>0.91</v>
      </c>
      <c r="AA209" s="19">
        <f t="shared" ca="1" si="38"/>
        <v>0.44</v>
      </c>
      <c r="AB209" s="19">
        <f t="shared" ca="1" si="38"/>
        <v>0.84</v>
      </c>
      <c r="AC209">
        <f t="shared" ca="1" si="35"/>
        <v>36.793779999999998</v>
      </c>
      <c r="AD209">
        <f t="shared" ca="1" si="36"/>
        <v>47.661029999999997</v>
      </c>
      <c r="AE209">
        <f t="shared" ca="1" si="44"/>
        <v>2758</v>
      </c>
      <c r="AF209">
        <f t="shared" ca="1" si="45"/>
        <v>36.275799999999997</v>
      </c>
      <c r="AI209" s="4" t="s">
        <v>41</v>
      </c>
      <c r="AJ209" t="str">
        <f t="shared" si="41"/>
        <v>Infantry Squad  #808</v>
      </c>
      <c r="AL209" s="16">
        <f t="shared" ca="1" si="46"/>
        <v>0</v>
      </c>
      <c r="AM209" s="16">
        <f t="shared" ca="1" si="47"/>
        <v>47.4</v>
      </c>
    </row>
    <row r="210" spans="1:39" x14ac:dyDescent="0.25">
      <c r="A210" s="4">
        <v>809</v>
      </c>
      <c r="B210" s="4" t="s">
        <v>253</v>
      </c>
      <c r="C210" s="4" t="s">
        <v>19</v>
      </c>
      <c r="D210" s="4" t="s">
        <v>18</v>
      </c>
      <c r="E210" s="5">
        <v>36.858170000000001</v>
      </c>
      <c r="F210" s="5">
        <v>47.617310000000003</v>
      </c>
      <c r="G210" s="6">
        <v>1.5E-3</v>
      </c>
      <c r="H210" s="7">
        <v>270</v>
      </c>
      <c r="I210" s="4">
        <v>100</v>
      </c>
      <c r="J210" s="4">
        <v>100</v>
      </c>
      <c r="K210" s="8">
        <v>0.4</v>
      </c>
      <c r="L210" s="4">
        <v>15</v>
      </c>
      <c r="M210" s="9">
        <v>0.6</v>
      </c>
      <c r="N210" s="4">
        <v>5</v>
      </c>
      <c r="O210" s="4">
        <v>10</v>
      </c>
      <c r="U210" s="20">
        <f t="shared" ca="1" si="37"/>
        <v>0.73</v>
      </c>
      <c r="V210" s="20">
        <f t="shared" ca="1" si="37"/>
        <v>0.05</v>
      </c>
      <c r="W210" s="20">
        <f t="shared" ca="1" si="37"/>
        <v>0.08</v>
      </c>
      <c r="X210">
        <f t="shared" ca="1" si="33"/>
        <v>36.62415</v>
      </c>
      <c r="Y210">
        <f t="shared" ca="1" si="34"/>
        <v>47.658859999999997</v>
      </c>
      <c r="Z210" s="19">
        <f t="shared" ca="1" si="38"/>
        <v>0.05</v>
      </c>
      <c r="AA210" s="19">
        <f t="shared" ca="1" si="38"/>
        <v>0.99</v>
      </c>
      <c r="AB210" s="19">
        <f t="shared" ca="1" si="38"/>
        <v>0.72</v>
      </c>
      <c r="AC210">
        <f t="shared" ca="1" si="35"/>
        <v>36.899250000000002</v>
      </c>
      <c r="AD210">
        <f t="shared" ca="1" si="36"/>
        <v>47.635820000000002</v>
      </c>
      <c r="AE210">
        <f t="shared" ca="1" si="44"/>
        <v>6807</v>
      </c>
      <c r="AF210">
        <f t="shared" ca="1" si="45"/>
        <v>36.680700000000002</v>
      </c>
      <c r="AI210" s="4" t="s">
        <v>41</v>
      </c>
      <c r="AJ210" t="str">
        <f t="shared" si="41"/>
        <v>Infantry Squad  #809</v>
      </c>
      <c r="AL210" s="16">
        <f t="shared" ca="1" si="46"/>
        <v>684</v>
      </c>
      <c r="AM210" s="16">
        <f t="shared" ca="1" si="47"/>
        <v>47.468399999999995</v>
      </c>
    </row>
    <row r="211" spans="1:39" x14ac:dyDescent="0.25">
      <c r="A211" s="4">
        <v>810</v>
      </c>
      <c r="B211" s="4" t="s">
        <v>254</v>
      </c>
      <c r="C211" s="4" t="s">
        <v>19</v>
      </c>
      <c r="D211" s="4" t="s">
        <v>16</v>
      </c>
      <c r="E211" s="5">
        <v>36.832990000000002</v>
      </c>
      <c r="F211" s="5">
        <v>47.649500000000003</v>
      </c>
      <c r="G211" s="6">
        <v>2.2000000000000001E-3</v>
      </c>
      <c r="H211" s="7">
        <v>270</v>
      </c>
      <c r="I211" s="4">
        <v>120</v>
      </c>
      <c r="J211" s="4">
        <v>120</v>
      </c>
      <c r="K211" s="8">
        <v>2.8</v>
      </c>
      <c r="L211" s="4">
        <v>90</v>
      </c>
      <c r="M211" s="9">
        <v>0.8</v>
      </c>
      <c r="N211" s="4">
        <v>90</v>
      </c>
      <c r="O211" s="4">
        <v>3</v>
      </c>
      <c r="U211" s="20">
        <f t="shared" ca="1" si="37"/>
        <v>0.88</v>
      </c>
      <c r="V211" s="20">
        <f t="shared" ca="1" si="37"/>
        <v>0.92</v>
      </c>
      <c r="W211" s="20">
        <f t="shared" ca="1" si="37"/>
        <v>0.64</v>
      </c>
      <c r="X211">
        <f t="shared" ca="1" si="33"/>
        <v>36.757300000000001</v>
      </c>
      <c r="Y211">
        <f t="shared" ca="1" si="34"/>
        <v>47.630940000000002</v>
      </c>
      <c r="Z211" s="19">
        <f t="shared" ca="1" si="38"/>
        <v>0.54</v>
      </c>
      <c r="AA211" s="19">
        <f t="shared" ca="1" si="38"/>
        <v>0.25</v>
      </c>
      <c r="AB211" s="19">
        <f t="shared" ca="1" si="38"/>
        <v>0.54</v>
      </c>
      <c r="AC211">
        <f t="shared" ca="1" si="35"/>
        <v>36.798000000000002</v>
      </c>
      <c r="AD211">
        <f t="shared" ca="1" si="36"/>
        <v>47.638500000000001</v>
      </c>
      <c r="AE211">
        <f t="shared" ca="1" si="44"/>
        <v>949</v>
      </c>
      <c r="AF211">
        <f t="shared" ca="1" si="45"/>
        <v>36.094900000000003</v>
      </c>
      <c r="AI211" s="4" t="s">
        <v>42</v>
      </c>
      <c r="AJ211" t="str">
        <f t="shared" si="41"/>
        <v>M1A2 Abrams  #810</v>
      </c>
      <c r="AL211" s="16">
        <f t="shared" ca="1" si="46"/>
        <v>608</v>
      </c>
      <c r="AM211" s="16">
        <f t="shared" ca="1" si="47"/>
        <v>47.460799999999999</v>
      </c>
    </row>
    <row r="212" spans="1:39" x14ac:dyDescent="0.25">
      <c r="A212" s="4">
        <v>811</v>
      </c>
      <c r="B212" s="4" t="s">
        <v>255</v>
      </c>
      <c r="C212" s="4" t="s">
        <v>19</v>
      </c>
      <c r="D212" s="4" t="s">
        <v>16</v>
      </c>
      <c r="E212" s="5">
        <v>36.79074</v>
      </c>
      <c r="F212" s="5">
        <v>47.645769999999999</v>
      </c>
      <c r="G212" s="6">
        <v>2.2000000000000001E-3</v>
      </c>
      <c r="H212" s="7">
        <v>270</v>
      </c>
      <c r="I212" s="4">
        <v>120</v>
      </c>
      <c r="J212" s="4">
        <v>120</v>
      </c>
      <c r="K212" s="8">
        <v>2.8</v>
      </c>
      <c r="L212" s="4">
        <v>90</v>
      </c>
      <c r="M212" s="9">
        <v>0.8</v>
      </c>
      <c r="N212" s="4">
        <v>90</v>
      </c>
      <c r="O212" s="4">
        <v>3</v>
      </c>
      <c r="U212" s="20">
        <f t="shared" ca="1" si="37"/>
        <v>0.71</v>
      </c>
      <c r="V212" s="20">
        <f t="shared" ca="1" si="37"/>
        <v>0.74</v>
      </c>
      <c r="W212" s="20">
        <f t="shared" ca="1" si="37"/>
        <v>0.59</v>
      </c>
      <c r="X212">
        <f t="shared" ca="1" si="33"/>
        <v>36.736780000000003</v>
      </c>
      <c r="Y212">
        <f t="shared" ca="1" si="34"/>
        <v>47.629460000000002</v>
      </c>
      <c r="Z212" s="19">
        <f t="shared" ca="1" si="38"/>
        <v>0.04</v>
      </c>
      <c r="AA212" s="19">
        <f t="shared" ca="1" si="38"/>
        <v>0.56000000000000005</v>
      </c>
      <c r="AB212" s="19">
        <f t="shared" ca="1" si="38"/>
        <v>0.72</v>
      </c>
      <c r="AC212">
        <f t="shared" ca="1" si="35"/>
        <v>36.862250000000003</v>
      </c>
      <c r="AD212">
        <f t="shared" ca="1" si="36"/>
        <v>47.626939999999998</v>
      </c>
      <c r="AE212">
        <f t="shared" ca="1" si="44"/>
        <v>7643</v>
      </c>
      <c r="AF212">
        <f t="shared" ca="1" si="45"/>
        <v>36.764299999999999</v>
      </c>
      <c r="AI212" s="4" t="s">
        <v>42</v>
      </c>
      <c r="AJ212" t="str">
        <f t="shared" si="41"/>
        <v>M1A2 Abrams  #811</v>
      </c>
      <c r="AL212" s="16">
        <f t="shared" ca="1" si="46"/>
        <v>625</v>
      </c>
      <c r="AM212" s="16">
        <f t="shared" ca="1" si="47"/>
        <v>47.462499999999999</v>
      </c>
    </row>
    <row r="213" spans="1:39" x14ac:dyDescent="0.25">
      <c r="A213" s="4">
        <v>812</v>
      </c>
      <c r="B213" s="4" t="s">
        <v>256</v>
      </c>
      <c r="C213" s="4" t="s">
        <v>19</v>
      </c>
      <c r="D213" s="4" t="s">
        <v>16</v>
      </c>
      <c r="E213" s="5">
        <v>36.87903</v>
      </c>
      <c r="F213" s="5">
        <v>47.625810000000001</v>
      </c>
      <c r="G213" s="6">
        <v>2.2000000000000001E-3</v>
      </c>
      <c r="H213" s="7">
        <v>270</v>
      </c>
      <c r="I213" s="4">
        <v>120</v>
      </c>
      <c r="J213" s="4">
        <v>120</v>
      </c>
      <c r="K213" s="8">
        <v>2.8</v>
      </c>
      <c r="L213" s="4">
        <v>90</v>
      </c>
      <c r="M213" s="9">
        <v>0.8</v>
      </c>
      <c r="N213" s="4">
        <v>90</v>
      </c>
      <c r="O213" s="4">
        <v>3</v>
      </c>
      <c r="U213" s="20">
        <f t="shared" ca="1" si="37"/>
        <v>0.49</v>
      </c>
      <c r="V213" s="20">
        <f t="shared" ca="1" si="37"/>
        <v>0.68</v>
      </c>
      <c r="W213" s="20">
        <f t="shared" ca="1" si="37"/>
        <v>0.67</v>
      </c>
      <c r="X213">
        <f t="shared" ca="1" si="33"/>
        <v>36.73771</v>
      </c>
      <c r="Y213">
        <f t="shared" ca="1" si="34"/>
        <v>47.645580000000002</v>
      </c>
      <c r="Z213" s="19">
        <f t="shared" ca="1" si="38"/>
        <v>0.73</v>
      </c>
      <c r="AA213" s="19">
        <f t="shared" ca="1" si="38"/>
        <v>0.28999999999999998</v>
      </c>
      <c r="AB213" s="19">
        <f t="shared" ca="1" si="38"/>
        <v>0.11</v>
      </c>
      <c r="AC213">
        <f t="shared" ca="1" si="35"/>
        <v>36.824849999999998</v>
      </c>
      <c r="AD213">
        <f t="shared" ca="1" si="36"/>
        <v>47.629890000000003</v>
      </c>
      <c r="AE213">
        <f t="shared" ca="1" si="44"/>
        <v>7333</v>
      </c>
      <c r="AF213">
        <f t="shared" ca="1" si="45"/>
        <v>36.7333</v>
      </c>
      <c r="AI213" s="4" t="s">
        <v>42</v>
      </c>
      <c r="AJ213" t="str">
        <f t="shared" si="41"/>
        <v>M1A2 Abrams  #812</v>
      </c>
      <c r="AL213" s="16">
        <f t="shared" ca="1" si="46"/>
        <v>582</v>
      </c>
      <c r="AM213" s="16">
        <f t="shared" ca="1" si="47"/>
        <v>47.458199999999998</v>
      </c>
    </row>
    <row r="214" spans="1:39" x14ac:dyDescent="0.25">
      <c r="A214" s="4">
        <v>813</v>
      </c>
      <c r="B214" s="4" t="s">
        <v>257</v>
      </c>
      <c r="C214" s="4" t="s">
        <v>19</v>
      </c>
      <c r="D214" s="4" t="s">
        <v>17</v>
      </c>
      <c r="E214" s="5">
        <v>36.876390000000001</v>
      </c>
      <c r="F214" s="5">
        <v>47.630760000000002</v>
      </c>
      <c r="G214" s="6">
        <v>3.2000000000000002E-3</v>
      </c>
      <c r="H214" s="7">
        <v>270</v>
      </c>
      <c r="I214" s="4">
        <v>65</v>
      </c>
      <c r="J214" s="4">
        <v>65</v>
      </c>
      <c r="K214" s="8">
        <v>1.8</v>
      </c>
      <c r="L214" s="4">
        <v>45</v>
      </c>
      <c r="M214" s="9">
        <v>0.73</v>
      </c>
      <c r="N214" s="4">
        <v>35</v>
      </c>
      <c r="O214" s="4">
        <v>6</v>
      </c>
      <c r="AE214">
        <f t="shared" ca="1" si="44"/>
        <v>7142</v>
      </c>
      <c r="AF214">
        <f t="shared" ca="1" si="45"/>
        <v>36.714199999999998</v>
      </c>
      <c r="AI214" s="4" t="s">
        <v>43</v>
      </c>
      <c r="AJ214" t="str">
        <f t="shared" si="41"/>
        <v>M2 Bradley  #813</v>
      </c>
      <c r="AL214" s="16">
        <f t="shared" ca="1" si="46"/>
        <v>332</v>
      </c>
      <c r="AM214" s="16">
        <f t="shared" ca="1" si="47"/>
        <v>47.433199999999999</v>
      </c>
    </row>
    <row r="215" spans="1:39" x14ac:dyDescent="0.25">
      <c r="A215" s="4">
        <v>814</v>
      </c>
      <c r="B215" s="4" t="s">
        <v>258</v>
      </c>
      <c r="C215" s="4" t="s">
        <v>19</v>
      </c>
      <c r="D215" s="4" t="s">
        <v>17</v>
      </c>
      <c r="E215" s="5">
        <v>36.7622</v>
      </c>
      <c r="F215" s="5">
        <v>47.606400000000001</v>
      </c>
      <c r="G215" s="6">
        <v>3.2000000000000002E-3</v>
      </c>
      <c r="H215" s="7">
        <v>270</v>
      </c>
      <c r="I215" s="4">
        <v>65</v>
      </c>
      <c r="J215" s="4">
        <v>65</v>
      </c>
      <c r="K215" s="8">
        <v>1.8</v>
      </c>
      <c r="L215" s="4">
        <v>45</v>
      </c>
      <c r="M215" s="9">
        <v>0.73</v>
      </c>
      <c r="N215" s="4">
        <v>35</v>
      </c>
      <c r="O215" s="4">
        <v>6</v>
      </c>
      <c r="AE215">
        <f t="shared" ca="1" si="44"/>
        <v>1429</v>
      </c>
      <c r="AF215">
        <f t="shared" ca="1" si="45"/>
        <v>36.142899999999997</v>
      </c>
      <c r="AI215" s="4" t="s">
        <v>43</v>
      </c>
      <c r="AJ215" t="str">
        <f t="shared" si="41"/>
        <v>M2 Bradley  #814</v>
      </c>
      <c r="AL215" s="16">
        <f t="shared" ca="1" si="46"/>
        <v>887</v>
      </c>
      <c r="AM215" s="16">
        <f t="shared" ca="1" si="47"/>
        <v>47.488700000000001</v>
      </c>
    </row>
    <row r="216" spans="1:39" x14ac:dyDescent="0.25">
      <c r="A216" s="4">
        <v>815</v>
      </c>
      <c r="B216" s="4" t="s">
        <v>259</v>
      </c>
      <c r="C216" s="4" t="s">
        <v>19</v>
      </c>
      <c r="D216" s="4" t="s">
        <v>17</v>
      </c>
      <c r="E216" s="5">
        <v>36.86309</v>
      </c>
      <c r="F216" s="5">
        <v>47.640279999999997</v>
      </c>
      <c r="G216" s="6">
        <v>3.8E-3</v>
      </c>
      <c r="H216" s="7">
        <v>270</v>
      </c>
      <c r="I216" s="4">
        <v>55</v>
      </c>
      <c r="J216" s="4">
        <v>55</v>
      </c>
      <c r="K216" s="8">
        <v>1.5</v>
      </c>
      <c r="L216" s="4">
        <v>30</v>
      </c>
      <c r="M216" s="9">
        <v>0.68</v>
      </c>
      <c r="N216" s="4">
        <v>25</v>
      </c>
      <c r="O216" s="4">
        <v>7</v>
      </c>
      <c r="AE216">
        <f t="shared" ca="1" si="44"/>
        <v>9060</v>
      </c>
      <c r="AF216">
        <f t="shared" ca="1" si="45"/>
        <v>36.905999999999999</v>
      </c>
      <c r="AI216" s="4" t="s">
        <v>44</v>
      </c>
      <c r="AJ216" t="str">
        <f t="shared" si="41"/>
        <v>Stryker  #815</v>
      </c>
      <c r="AL216" s="16">
        <f t="shared" ca="1" si="46"/>
        <v>947</v>
      </c>
      <c r="AM216" s="16">
        <f t="shared" ca="1" si="47"/>
        <v>47.494700000000002</v>
      </c>
    </row>
    <row r="217" spans="1:39" x14ac:dyDescent="0.25">
      <c r="A217" s="4">
        <v>816</v>
      </c>
      <c r="B217" s="4" t="s">
        <v>260</v>
      </c>
      <c r="C217" s="4" t="s">
        <v>19</v>
      </c>
      <c r="D217" s="4" t="s">
        <v>18</v>
      </c>
      <c r="E217" s="5">
        <v>36.894649999999999</v>
      </c>
      <c r="F217" s="5">
        <v>47.613500000000002</v>
      </c>
      <c r="G217" s="6">
        <v>1.5E-3</v>
      </c>
      <c r="H217" s="7">
        <v>270</v>
      </c>
      <c r="I217" s="4">
        <v>100</v>
      </c>
      <c r="J217" s="4">
        <v>100</v>
      </c>
      <c r="K217" s="8">
        <v>0.4</v>
      </c>
      <c r="L217" s="4">
        <v>15</v>
      </c>
      <c r="M217" s="9">
        <v>0.6</v>
      </c>
      <c r="N217" s="4">
        <v>5</v>
      </c>
      <c r="O217" s="4">
        <v>10</v>
      </c>
      <c r="AE217">
        <f t="shared" ca="1" si="44"/>
        <v>5266</v>
      </c>
      <c r="AF217">
        <f t="shared" ca="1" si="45"/>
        <v>36.526600000000002</v>
      </c>
      <c r="AI217" s="4" t="s">
        <v>41</v>
      </c>
      <c r="AJ217" t="str">
        <f t="shared" si="41"/>
        <v>Infantry Squad  #816</v>
      </c>
      <c r="AL217" s="16">
        <f t="shared" ca="1" si="46"/>
        <v>653</v>
      </c>
      <c r="AM217" s="16">
        <f t="shared" ca="1" si="47"/>
        <v>47.465299999999999</v>
      </c>
    </row>
    <row r="218" spans="1:39" x14ac:dyDescent="0.25">
      <c r="A218" s="4">
        <v>817</v>
      </c>
      <c r="B218" s="4" t="s">
        <v>261</v>
      </c>
      <c r="C218" s="4" t="s">
        <v>19</v>
      </c>
      <c r="D218" s="4" t="s">
        <v>18</v>
      </c>
      <c r="E218" s="5">
        <v>36.84552</v>
      </c>
      <c r="F218" s="5">
        <v>47.676609999999997</v>
      </c>
      <c r="G218" s="6">
        <v>1.5E-3</v>
      </c>
      <c r="H218" s="7">
        <v>270</v>
      </c>
      <c r="I218" s="4">
        <v>100</v>
      </c>
      <c r="J218" s="4">
        <v>100</v>
      </c>
      <c r="K218" s="8">
        <v>0.4</v>
      </c>
      <c r="L218" s="4">
        <v>15</v>
      </c>
      <c r="M218" s="9">
        <v>0.6</v>
      </c>
      <c r="N218" s="4">
        <v>5</v>
      </c>
      <c r="O218" s="4">
        <v>10</v>
      </c>
      <c r="AE218">
        <f t="shared" ca="1" si="44"/>
        <v>7847</v>
      </c>
      <c r="AF218">
        <f t="shared" ca="1" si="45"/>
        <v>36.784700000000001</v>
      </c>
      <c r="AI218" s="4" t="s">
        <v>41</v>
      </c>
      <c r="AJ218" t="str">
        <f t="shared" si="41"/>
        <v>Infantry Squad  #817</v>
      </c>
      <c r="AL218" s="16">
        <f t="shared" ca="1" si="46"/>
        <v>195</v>
      </c>
      <c r="AM218" s="16">
        <f t="shared" ca="1" si="47"/>
        <v>47.419499999999999</v>
      </c>
    </row>
    <row r="219" spans="1:39" x14ac:dyDescent="0.25">
      <c r="A219" s="4">
        <v>818</v>
      </c>
      <c r="B219" s="4" t="s">
        <v>262</v>
      </c>
      <c r="C219" s="4" t="s">
        <v>19</v>
      </c>
      <c r="D219" s="4" t="s">
        <v>18</v>
      </c>
      <c r="E219" s="5">
        <v>36.7744</v>
      </c>
      <c r="F219" s="5">
        <v>47.636209999999998</v>
      </c>
      <c r="G219" s="6">
        <v>1.5E-3</v>
      </c>
      <c r="H219" s="7">
        <v>270</v>
      </c>
      <c r="I219" s="4">
        <v>100</v>
      </c>
      <c r="J219" s="4">
        <v>100</v>
      </c>
      <c r="K219" s="8">
        <v>0.4</v>
      </c>
      <c r="L219" s="4">
        <v>15</v>
      </c>
      <c r="M219" s="9">
        <v>0.6</v>
      </c>
      <c r="N219" s="4">
        <v>5</v>
      </c>
      <c r="O219" s="4">
        <v>10</v>
      </c>
      <c r="AE219">
        <f t="shared" ca="1" si="44"/>
        <v>2341</v>
      </c>
      <c r="AF219">
        <f t="shared" ca="1" si="45"/>
        <v>36.234099999999998</v>
      </c>
      <c r="AI219" s="4" t="s">
        <v>41</v>
      </c>
      <c r="AJ219" t="str">
        <f t="shared" si="41"/>
        <v>Infantry Squad  #818</v>
      </c>
      <c r="AL219" s="16">
        <f t="shared" ca="1" si="46"/>
        <v>17</v>
      </c>
      <c r="AM219" s="16">
        <f t="shared" ca="1" si="47"/>
        <v>47.401699999999998</v>
      </c>
    </row>
    <row r="220" spans="1:39" x14ac:dyDescent="0.25">
      <c r="A220" s="4">
        <v>819</v>
      </c>
      <c r="B220" s="4" t="s">
        <v>263</v>
      </c>
      <c r="C220" s="4" t="s">
        <v>19</v>
      </c>
      <c r="D220" s="4" t="s">
        <v>16</v>
      </c>
      <c r="E220" s="5">
        <v>36.899250000000002</v>
      </c>
      <c r="F220" s="5">
        <v>47.607959999999999</v>
      </c>
      <c r="G220" s="6">
        <v>2.2000000000000001E-3</v>
      </c>
      <c r="H220" s="7">
        <v>270</v>
      </c>
      <c r="I220" s="4">
        <v>120</v>
      </c>
      <c r="J220" s="4">
        <v>120</v>
      </c>
      <c r="K220" s="8">
        <v>2.8</v>
      </c>
      <c r="L220" s="4">
        <v>90</v>
      </c>
      <c r="M220" s="9">
        <v>0.8</v>
      </c>
      <c r="N220" s="4">
        <v>90</v>
      </c>
      <c r="O220" s="4">
        <v>3</v>
      </c>
      <c r="AE220">
        <f t="shared" ca="1" si="44"/>
        <v>6013</v>
      </c>
      <c r="AF220">
        <f t="shared" ca="1" si="45"/>
        <v>36.601300000000002</v>
      </c>
      <c r="AI220" s="4" t="s">
        <v>42</v>
      </c>
      <c r="AJ220" t="str">
        <f t="shared" si="41"/>
        <v>M1A2 Abrams  #819</v>
      </c>
      <c r="AL220" s="16">
        <f t="shared" ca="1" si="46"/>
        <v>132</v>
      </c>
      <c r="AM220" s="16">
        <f t="shared" ca="1" si="47"/>
        <v>47.413199999999996</v>
      </c>
    </row>
    <row r="221" spans="1:39" x14ac:dyDescent="0.25">
      <c r="A221" s="4">
        <v>820</v>
      </c>
      <c r="B221" s="4" t="s">
        <v>264</v>
      </c>
      <c r="C221" s="4" t="s">
        <v>19</v>
      </c>
      <c r="D221" s="4" t="s">
        <v>16</v>
      </c>
      <c r="E221" s="5">
        <v>36.781840000000003</v>
      </c>
      <c r="F221" s="5">
        <v>47.645319999999998</v>
      </c>
      <c r="G221" s="6">
        <v>2.2000000000000001E-3</v>
      </c>
      <c r="H221" s="7">
        <v>270</v>
      </c>
      <c r="I221" s="4">
        <v>120</v>
      </c>
      <c r="J221" s="4">
        <v>120</v>
      </c>
      <c r="K221" s="8">
        <v>2.8</v>
      </c>
      <c r="L221" s="4">
        <v>90</v>
      </c>
      <c r="M221" s="9">
        <v>0.8</v>
      </c>
      <c r="N221" s="4">
        <v>90</v>
      </c>
      <c r="O221" s="4">
        <v>3</v>
      </c>
      <c r="AE221">
        <f t="shared" ca="1" si="44"/>
        <v>4161</v>
      </c>
      <c r="AF221">
        <f t="shared" ca="1" si="45"/>
        <v>36.4161</v>
      </c>
      <c r="AI221" s="4" t="s">
        <v>42</v>
      </c>
      <c r="AJ221" t="str">
        <f t="shared" si="41"/>
        <v>M1A2 Abrams  #820</v>
      </c>
      <c r="AL221" s="16">
        <f t="shared" ca="1" si="46"/>
        <v>770</v>
      </c>
      <c r="AM221" s="16">
        <f t="shared" ca="1" si="47"/>
        <v>47.476999999999997</v>
      </c>
    </row>
    <row r="222" spans="1:39" x14ac:dyDescent="0.25">
      <c r="A222" s="4">
        <v>821</v>
      </c>
      <c r="B222" s="4" t="s">
        <v>265</v>
      </c>
      <c r="C222" s="4" t="s">
        <v>19</v>
      </c>
      <c r="D222" s="4" t="s">
        <v>16</v>
      </c>
      <c r="E222" s="5">
        <v>36.777900000000002</v>
      </c>
      <c r="F222" s="5">
        <v>47.623550000000002</v>
      </c>
      <c r="G222" s="6">
        <v>2.2000000000000001E-3</v>
      </c>
      <c r="H222" s="7">
        <v>270</v>
      </c>
      <c r="I222" s="4">
        <v>120</v>
      </c>
      <c r="J222" s="4">
        <v>120</v>
      </c>
      <c r="K222" s="8">
        <v>2.8</v>
      </c>
      <c r="L222" s="4">
        <v>90</v>
      </c>
      <c r="M222" s="9">
        <v>0.8</v>
      </c>
      <c r="N222" s="4">
        <v>90</v>
      </c>
      <c r="O222" s="4">
        <v>3</v>
      </c>
      <c r="AE222">
        <f t="shared" ca="1" si="44"/>
        <v>466</v>
      </c>
      <c r="AF222">
        <f t="shared" ca="1" si="45"/>
        <v>36.046599999999998</v>
      </c>
      <c r="AI222" s="4" t="s">
        <v>42</v>
      </c>
      <c r="AJ222" t="str">
        <f t="shared" si="41"/>
        <v>M1A2 Abrams  #821</v>
      </c>
      <c r="AL222" s="16">
        <f t="shared" ca="1" si="46"/>
        <v>423</v>
      </c>
      <c r="AM222" s="16">
        <f t="shared" ca="1" si="47"/>
        <v>47.442299999999996</v>
      </c>
    </row>
    <row r="223" spans="1:39" x14ac:dyDescent="0.25">
      <c r="A223" s="4">
        <v>822</v>
      </c>
      <c r="B223" s="4" t="s">
        <v>266</v>
      </c>
      <c r="C223" s="4" t="s">
        <v>19</v>
      </c>
      <c r="D223" s="4" t="s">
        <v>17</v>
      </c>
      <c r="E223" s="5">
        <v>36.78931</v>
      </c>
      <c r="F223" s="5">
        <v>47.647660000000002</v>
      </c>
      <c r="G223" s="6">
        <v>3.2000000000000002E-3</v>
      </c>
      <c r="H223" s="7">
        <v>270</v>
      </c>
      <c r="I223" s="4">
        <v>65</v>
      </c>
      <c r="J223" s="4">
        <v>65</v>
      </c>
      <c r="K223" s="8">
        <v>1.8</v>
      </c>
      <c r="L223" s="4">
        <v>45</v>
      </c>
      <c r="M223" s="9">
        <v>0.73</v>
      </c>
      <c r="N223" s="4">
        <v>35</v>
      </c>
      <c r="O223" s="4">
        <v>6</v>
      </c>
      <c r="AE223">
        <f t="shared" ca="1" si="44"/>
        <v>4757</v>
      </c>
      <c r="AF223">
        <f t="shared" ca="1" si="45"/>
        <v>36.475700000000003</v>
      </c>
      <c r="AI223" s="4" t="s">
        <v>43</v>
      </c>
      <c r="AJ223" t="str">
        <f t="shared" si="41"/>
        <v>M2 Bradley  #822</v>
      </c>
      <c r="AL223" s="16">
        <f t="shared" ca="1" si="46"/>
        <v>513</v>
      </c>
      <c r="AM223" s="16">
        <f t="shared" ca="1" si="47"/>
        <v>47.451299999999996</v>
      </c>
    </row>
    <row r="224" spans="1:39" x14ac:dyDescent="0.25">
      <c r="A224" s="4">
        <v>823</v>
      </c>
      <c r="B224" s="4" t="s">
        <v>267</v>
      </c>
      <c r="C224" s="4" t="s">
        <v>19</v>
      </c>
      <c r="D224" s="4" t="s">
        <v>17</v>
      </c>
      <c r="E224" s="5">
        <v>36.8444</v>
      </c>
      <c r="F224" s="5">
        <v>47.667360000000002</v>
      </c>
      <c r="G224" s="6">
        <v>3.2000000000000002E-3</v>
      </c>
      <c r="H224" s="7">
        <v>270</v>
      </c>
      <c r="I224" s="4">
        <v>65</v>
      </c>
      <c r="J224" s="4">
        <v>65</v>
      </c>
      <c r="K224" s="8">
        <v>1.8</v>
      </c>
      <c r="L224" s="4">
        <v>45</v>
      </c>
      <c r="M224" s="9">
        <v>0.73</v>
      </c>
      <c r="N224" s="4">
        <v>35</v>
      </c>
      <c r="O224" s="4">
        <v>6</v>
      </c>
      <c r="AE224">
        <f t="shared" ca="1" si="44"/>
        <v>8927</v>
      </c>
      <c r="AF224">
        <f t="shared" ca="1" si="45"/>
        <v>36.892699999999998</v>
      </c>
      <c r="AI224" s="4" t="s">
        <v>43</v>
      </c>
      <c r="AJ224" t="str">
        <f t="shared" si="41"/>
        <v>M2 Bradley  #823</v>
      </c>
      <c r="AL224" s="16">
        <f t="shared" ca="1" si="46"/>
        <v>636</v>
      </c>
      <c r="AM224" s="16">
        <f t="shared" ca="1" si="47"/>
        <v>47.4636</v>
      </c>
    </row>
    <row r="225" spans="1:39" x14ac:dyDescent="0.25">
      <c r="A225" s="4">
        <v>824</v>
      </c>
      <c r="B225" s="4" t="s">
        <v>268</v>
      </c>
      <c r="C225" s="4" t="s">
        <v>19</v>
      </c>
      <c r="D225" s="4" t="s">
        <v>17</v>
      </c>
      <c r="E225" s="5">
        <v>36.789200000000001</v>
      </c>
      <c r="F225" s="5">
        <v>47.630400000000002</v>
      </c>
      <c r="G225" s="6">
        <v>3.8E-3</v>
      </c>
      <c r="H225" s="7">
        <v>270</v>
      </c>
      <c r="I225" s="4">
        <v>55</v>
      </c>
      <c r="J225" s="4">
        <v>55</v>
      </c>
      <c r="K225" s="8">
        <v>1.5</v>
      </c>
      <c r="L225" s="4">
        <v>30</v>
      </c>
      <c r="M225" s="9">
        <v>0.68</v>
      </c>
      <c r="N225" s="4">
        <v>25</v>
      </c>
      <c r="O225" s="4">
        <v>7</v>
      </c>
      <c r="AE225">
        <f t="shared" ca="1" si="44"/>
        <v>8693</v>
      </c>
      <c r="AF225">
        <f t="shared" ca="1" si="45"/>
        <v>36.869300000000003</v>
      </c>
      <c r="AI225" s="4" t="s">
        <v>44</v>
      </c>
      <c r="AJ225" t="str">
        <f t="shared" si="41"/>
        <v>Stryker  #824</v>
      </c>
      <c r="AL225" s="16">
        <f t="shared" ca="1" si="46"/>
        <v>731</v>
      </c>
      <c r="AM225" s="16">
        <f t="shared" ca="1" si="47"/>
        <v>47.473099999999995</v>
      </c>
    </row>
    <row r="226" spans="1:39" x14ac:dyDescent="0.25">
      <c r="A226" s="4">
        <v>825</v>
      </c>
      <c r="B226" s="4" t="s">
        <v>269</v>
      </c>
      <c r="C226" s="4" t="s">
        <v>19</v>
      </c>
      <c r="D226" s="4" t="s">
        <v>18</v>
      </c>
      <c r="E226" s="5">
        <v>36.853029999999997</v>
      </c>
      <c r="F226" s="5">
        <v>47.667729999999999</v>
      </c>
      <c r="G226" s="6">
        <v>1.5E-3</v>
      </c>
      <c r="H226" s="7">
        <v>270</v>
      </c>
      <c r="I226" s="4">
        <v>100</v>
      </c>
      <c r="J226" s="4">
        <v>100</v>
      </c>
      <c r="K226" s="8">
        <v>0.4</v>
      </c>
      <c r="L226" s="4">
        <v>15</v>
      </c>
      <c r="M226" s="9">
        <v>0.6</v>
      </c>
      <c r="N226" s="4">
        <v>5</v>
      </c>
      <c r="O226" s="4">
        <v>10</v>
      </c>
      <c r="AE226">
        <f t="shared" ca="1" si="44"/>
        <v>7260</v>
      </c>
      <c r="AF226">
        <f t="shared" ca="1" si="45"/>
        <v>36.725999999999999</v>
      </c>
      <c r="AI226" s="4" t="s">
        <v>41</v>
      </c>
      <c r="AJ226" t="str">
        <f t="shared" si="41"/>
        <v>Infantry Squad  #825</v>
      </c>
      <c r="AL226" s="16">
        <f t="shared" ca="1" si="46"/>
        <v>170</v>
      </c>
      <c r="AM226" s="16">
        <f t="shared" ca="1" si="47"/>
        <v>47.417000000000002</v>
      </c>
    </row>
    <row r="227" spans="1:39" x14ac:dyDescent="0.25">
      <c r="A227" s="4">
        <v>826</v>
      </c>
      <c r="B227" s="4" t="s">
        <v>270</v>
      </c>
      <c r="C227" s="4" t="s">
        <v>19</v>
      </c>
      <c r="D227" s="4" t="s">
        <v>18</v>
      </c>
      <c r="E227" s="5">
        <v>36.86985</v>
      </c>
      <c r="F227" s="5">
        <v>47.655320000000003</v>
      </c>
      <c r="G227" s="6">
        <v>1.5E-3</v>
      </c>
      <c r="H227" s="7">
        <v>270</v>
      </c>
      <c r="I227" s="4">
        <v>100</v>
      </c>
      <c r="J227" s="4">
        <v>100</v>
      </c>
      <c r="K227" s="8">
        <v>0.4</v>
      </c>
      <c r="L227" s="4">
        <v>15</v>
      </c>
      <c r="M227" s="9">
        <v>0.6</v>
      </c>
      <c r="N227" s="4">
        <v>5</v>
      </c>
      <c r="O227" s="4">
        <v>10</v>
      </c>
      <c r="AE227">
        <f t="shared" ca="1" si="44"/>
        <v>2535</v>
      </c>
      <c r="AF227">
        <f t="shared" ca="1" si="45"/>
        <v>36.253500000000003</v>
      </c>
      <c r="AI227" s="4" t="s">
        <v>41</v>
      </c>
      <c r="AJ227" t="str">
        <f t="shared" ref="AJ227:AJ258" si="48">CONCATENATE(AI227," #",A227)</f>
        <v>Infantry Squad  #826</v>
      </c>
      <c r="AL227" s="16">
        <f t="shared" ca="1" si="46"/>
        <v>203</v>
      </c>
      <c r="AM227" s="16">
        <f t="shared" ca="1" si="47"/>
        <v>47.420299999999997</v>
      </c>
    </row>
    <row r="228" spans="1:39" x14ac:dyDescent="0.25">
      <c r="A228" s="4">
        <v>827</v>
      </c>
      <c r="B228" s="4" t="s">
        <v>271</v>
      </c>
      <c r="C228" s="4" t="s">
        <v>19</v>
      </c>
      <c r="D228" s="4" t="s">
        <v>18</v>
      </c>
      <c r="E228" s="5">
        <v>36.774410000000003</v>
      </c>
      <c r="F228" s="5">
        <v>47.64228</v>
      </c>
      <c r="G228" s="6">
        <v>1.5E-3</v>
      </c>
      <c r="H228" s="7">
        <v>270</v>
      </c>
      <c r="I228" s="4">
        <v>100</v>
      </c>
      <c r="J228" s="4">
        <v>100</v>
      </c>
      <c r="K228" s="8">
        <v>0.4</v>
      </c>
      <c r="L228" s="4">
        <v>15</v>
      </c>
      <c r="M228" s="9">
        <v>0.6</v>
      </c>
      <c r="N228" s="4">
        <v>5</v>
      </c>
      <c r="O228" s="4">
        <v>10</v>
      </c>
      <c r="AE228">
        <f t="shared" ca="1" si="44"/>
        <v>6623</v>
      </c>
      <c r="AF228">
        <f t="shared" ca="1" si="45"/>
        <v>36.662300000000002</v>
      </c>
      <c r="AI228" s="4" t="s">
        <v>41</v>
      </c>
      <c r="AJ228" t="str">
        <f t="shared" si="48"/>
        <v>Infantry Squad  #827</v>
      </c>
      <c r="AL228" s="16">
        <f t="shared" ca="1" si="46"/>
        <v>153</v>
      </c>
      <c r="AM228" s="16">
        <f t="shared" ca="1" si="47"/>
        <v>47.415300000000002</v>
      </c>
    </row>
    <row r="229" spans="1:39" x14ac:dyDescent="0.25">
      <c r="A229" s="4">
        <v>828</v>
      </c>
      <c r="B229" s="4" t="s">
        <v>272</v>
      </c>
      <c r="C229" s="4" t="s">
        <v>19</v>
      </c>
      <c r="D229" s="4" t="s">
        <v>16</v>
      </c>
      <c r="E229" s="5">
        <v>36.81418</v>
      </c>
      <c r="F229" s="5">
        <v>47.658050000000003</v>
      </c>
      <c r="G229" s="6">
        <v>2.2000000000000001E-3</v>
      </c>
      <c r="H229" s="7">
        <v>270</v>
      </c>
      <c r="I229" s="4">
        <v>120</v>
      </c>
      <c r="J229" s="4">
        <v>120</v>
      </c>
      <c r="K229" s="8">
        <v>2.8</v>
      </c>
      <c r="L229" s="4">
        <v>90</v>
      </c>
      <c r="M229" s="9">
        <v>0.8</v>
      </c>
      <c r="N229" s="4">
        <v>90</v>
      </c>
      <c r="O229" s="4">
        <v>3</v>
      </c>
      <c r="AE229">
        <f t="shared" ca="1" si="44"/>
        <v>3524</v>
      </c>
      <c r="AF229">
        <f t="shared" ca="1" si="45"/>
        <v>36.352400000000003</v>
      </c>
      <c r="AI229" s="4" t="s">
        <v>42</v>
      </c>
      <c r="AJ229" t="str">
        <f t="shared" si="48"/>
        <v>M1A2 Abrams  #828</v>
      </c>
      <c r="AL229" s="16">
        <f t="shared" ca="1" si="46"/>
        <v>774</v>
      </c>
      <c r="AM229" s="16">
        <f t="shared" ca="1" si="47"/>
        <v>47.477399999999996</v>
      </c>
    </row>
    <row r="230" spans="1:39" x14ac:dyDescent="0.25">
      <c r="A230" s="4">
        <v>829</v>
      </c>
      <c r="B230" s="4" t="s">
        <v>273</v>
      </c>
      <c r="C230" s="4" t="s">
        <v>19</v>
      </c>
      <c r="D230" s="4" t="s">
        <v>16</v>
      </c>
      <c r="E230" s="5">
        <v>36.862250000000003</v>
      </c>
      <c r="F230" s="5">
        <v>47.611600000000003</v>
      </c>
      <c r="G230" s="6">
        <v>2.2000000000000001E-3</v>
      </c>
      <c r="H230" s="7">
        <v>270</v>
      </c>
      <c r="I230" s="4">
        <v>120</v>
      </c>
      <c r="J230" s="4">
        <v>120</v>
      </c>
      <c r="K230" s="8">
        <v>2.8</v>
      </c>
      <c r="L230" s="4">
        <v>90</v>
      </c>
      <c r="M230" s="9">
        <v>0.8</v>
      </c>
      <c r="N230" s="4">
        <v>90</v>
      </c>
      <c r="O230" s="4">
        <v>3</v>
      </c>
      <c r="AE230">
        <f t="shared" ca="1" si="44"/>
        <v>2225</v>
      </c>
      <c r="AF230">
        <f t="shared" ca="1" si="45"/>
        <v>36.222499999999997</v>
      </c>
      <c r="AI230" s="4" t="s">
        <v>42</v>
      </c>
      <c r="AJ230" t="str">
        <f t="shared" si="48"/>
        <v>M1A2 Abrams  #829</v>
      </c>
      <c r="AL230" s="16">
        <f t="shared" ca="1" si="46"/>
        <v>493</v>
      </c>
      <c r="AM230" s="16">
        <f t="shared" ca="1" si="47"/>
        <v>47.449300000000001</v>
      </c>
    </row>
    <row r="231" spans="1:39" x14ac:dyDescent="0.25">
      <c r="A231" s="4">
        <v>830</v>
      </c>
      <c r="B231" s="4" t="s">
        <v>274</v>
      </c>
      <c r="C231" s="4" t="s">
        <v>19</v>
      </c>
      <c r="D231" s="4" t="s">
        <v>16</v>
      </c>
      <c r="E231" s="5">
        <v>36.824109999999997</v>
      </c>
      <c r="F231" s="5">
        <v>47.680210000000002</v>
      </c>
      <c r="G231" s="6">
        <v>2.2000000000000001E-3</v>
      </c>
      <c r="H231" s="7">
        <v>270</v>
      </c>
      <c r="I231" s="4">
        <v>120</v>
      </c>
      <c r="J231" s="4">
        <v>120</v>
      </c>
      <c r="K231" s="8">
        <v>2.8</v>
      </c>
      <c r="L231" s="4">
        <v>90</v>
      </c>
      <c r="M231" s="9">
        <v>0.8</v>
      </c>
      <c r="N231" s="4">
        <v>90</v>
      </c>
      <c r="O231" s="4">
        <v>3</v>
      </c>
      <c r="AE231">
        <f t="shared" ca="1" si="44"/>
        <v>4334</v>
      </c>
      <c r="AF231">
        <f t="shared" ca="1" si="45"/>
        <v>36.433399999999999</v>
      </c>
      <c r="AI231" s="4" t="s">
        <v>42</v>
      </c>
      <c r="AJ231" t="str">
        <f t="shared" si="48"/>
        <v>M1A2 Abrams  #830</v>
      </c>
      <c r="AL231" s="16">
        <f t="shared" ca="1" si="46"/>
        <v>853</v>
      </c>
      <c r="AM231" s="16">
        <f t="shared" ca="1" si="47"/>
        <v>47.485299999999995</v>
      </c>
    </row>
    <row r="232" spans="1:39" x14ac:dyDescent="0.25">
      <c r="A232" s="4">
        <v>831</v>
      </c>
      <c r="B232" s="4" t="s">
        <v>275</v>
      </c>
      <c r="C232" s="4" t="s">
        <v>19</v>
      </c>
      <c r="D232" s="4" t="s">
        <v>17</v>
      </c>
      <c r="E232" s="5">
        <v>36.893090000000001</v>
      </c>
      <c r="F232" s="5">
        <v>47.627189999999999</v>
      </c>
      <c r="G232" s="6">
        <v>3.2000000000000002E-3</v>
      </c>
      <c r="H232" s="7">
        <v>270</v>
      </c>
      <c r="I232" s="4">
        <v>65</v>
      </c>
      <c r="J232" s="4">
        <v>65</v>
      </c>
      <c r="K232" s="8">
        <v>1.8</v>
      </c>
      <c r="L232" s="4">
        <v>45</v>
      </c>
      <c r="M232" s="9">
        <v>0.73</v>
      </c>
      <c r="N232" s="4">
        <v>35</v>
      </c>
      <c r="O232" s="4">
        <v>6</v>
      </c>
      <c r="AE232">
        <f t="shared" ca="1" si="44"/>
        <v>2698</v>
      </c>
      <c r="AF232">
        <f t="shared" ca="1" si="45"/>
        <v>36.269799999999996</v>
      </c>
      <c r="AI232" s="4" t="s">
        <v>43</v>
      </c>
      <c r="AJ232" t="str">
        <f t="shared" si="48"/>
        <v>M2 Bradley  #831</v>
      </c>
      <c r="AL232" s="16">
        <f t="shared" ca="1" si="46"/>
        <v>277</v>
      </c>
      <c r="AM232" s="16">
        <f t="shared" ca="1" si="47"/>
        <v>47.427700000000002</v>
      </c>
    </row>
    <row r="233" spans="1:39" x14ac:dyDescent="0.25">
      <c r="A233" s="4">
        <v>832</v>
      </c>
      <c r="B233" s="4" t="s">
        <v>276</v>
      </c>
      <c r="C233" s="4" t="s">
        <v>19</v>
      </c>
      <c r="D233" s="4" t="s">
        <v>17</v>
      </c>
      <c r="E233" s="5">
        <v>36.853830000000002</v>
      </c>
      <c r="F233" s="5">
        <v>47.651919999999997</v>
      </c>
      <c r="G233" s="6">
        <v>3.2000000000000002E-3</v>
      </c>
      <c r="H233" s="7">
        <v>270</v>
      </c>
      <c r="I233" s="4">
        <v>65</v>
      </c>
      <c r="J233" s="4">
        <v>65</v>
      </c>
      <c r="K233" s="8">
        <v>1.8</v>
      </c>
      <c r="L233" s="4">
        <v>45</v>
      </c>
      <c r="M233" s="9">
        <v>0.73</v>
      </c>
      <c r="N233" s="4">
        <v>35</v>
      </c>
      <c r="O233" s="4">
        <v>6</v>
      </c>
      <c r="AE233">
        <f t="shared" ca="1" si="44"/>
        <v>3209</v>
      </c>
      <c r="AF233">
        <f t="shared" ca="1" si="45"/>
        <v>36.320900000000002</v>
      </c>
      <c r="AI233" s="4" t="s">
        <v>43</v>
      </c>
      <c r="AJ233" t="str">
        <f t="shared" si="48"/>
        <v>M2 Bradley  #832</v>
      </c>
      <c r="AL233" s="16">
        <f t="shared" ca="1" si="46"/>
        <v>269</v>
      </c>
      <c r="AM233" s="16">
        <f t="shared" ca="1" si="47"/>
        <v>47.426899999999996</v>
      </c>
    </row>
    <row r="234" spans="1:39" x14ac:dyDescent="0.25">
      <c r="A234" s="4">
        <v>833</v>
      </c>
      <c r="B234" s="4" t="s">
        <v>277</v>
      </c>
      <c r="C234" s="4" t="s">
        <v>19</v>
      </c>
      <c r="D234" s="4" t="s">
        <v>17</v>
      </c>
      <c r="E234" s="5">
        <v>36.777529999999999</v>
      </c>
      <c r="F234" s="5">
        <v>47.649970000000003</v>
      </c>
      <c r="G234" s="6">
        <v>3.8E-3</v>
      </c>
      <c r="H234" s="7">
        <v>270</v>
      </c>
      <c r="I234" s="4">
        <v>55</v>
      </c>
      <c r="J234" s="4">
        <v>55</v>
      </c>
      <c r="K234" s="8">
        <v>1.5</v>
      </c>
      <c r="L234" s="4">
        <v>30</v>
      </c>
      <c r="M234" s="9">
        <v>0.68</v>
      </c>
      <c r="N234" s="4">
        <v>25</v>
      </c>
      <c r="O234" s="4">
        <v>7</v>
      </c>
      <c r="AE234">
        <f t="shared" ca="1" si="44"/>
        <v>5875</v>
      </c>
      <c r="AF234">
        <f t="shared" ca="1" si="45"/>
        <v>36.587499999999999</v>
      </c>
      <c r="AI234" s="4" t="s">
        <v>44</v>
      </c>
      <c r="AJ234" t="str">
        <f t="shared" si="48"/>
        <v>Stryker  #833</v>
      </c>
      <c r="AL234" s="16">
        <f t="shared" ca="1" si="46"/>
        <v>451</v>
      </c>
      <c r="AM234" s="16">
        <f t="shared" ca="1" si="47"/>
        <v>47.445099999999996</v>
      </c>
    </row>
    <row r="235" spans="1:39" x14ac:dyDescent="0.25">
      <c r="A235" s="4">
        <v>834</v>
      </c>
      <c r="B235" s="4" t="s">
        <v>278</v>
      </c>
      <c r="C235" s="4" t="s">
        <v>19</v>
      </c>
      <c r="D235" s="4" t="s">
        <v>18</v>
      </c>
      <c r="E235" s="5">
        <v>36.773629999999997</v>
      </c>
      <c r="F235" s="5">
        <v>47.636600000000001</v>
      </c>
      <c r="G235" s="6">
        <v>1.5E-3</v>
      </c>
      <c r="H235" s="7">
        <v>270</v>
      </c>
      <c r="I235" s="4">
        <v>100</v>
      </c>
      <c r="J235" s="4">
        <v>100</v>
      </c>
      <c r="K235" s="8">
        <v>0.4</v>
      </c>
      <c r="L235" s="4">
        <v>15</v>
      </c>
      <c r="M235" s="9">
        <v>0.6</v>
      </c>
      <c r="N235" s="4">
        <v>5</v>
      </c>
      <c r="O235" s="4">
        <v>10</v>
      </c>
      <c r="AE235">
        <f t="shared" ref="AE235:AE291" ca="1" si="49">RANDBETWEEN(0,10000)</f>
        <v>3149</v>
      </c>
      <c r="AF235">
        <f t="shared" ref="AF235:AF291" ca="1" si="50">36+AE235/10000</f>
        <v>36.314900000000002</v>
      </c>
      <c r="AI235" s="4" t="s">
        <v>41</v>
      </c>
      <c r="AJ235" t="str">
        <f t="shared" si="48"/>
        <v>Infantry Squad  #834</v>
      </c>
      <c r="AL235" s="16">
        <f t="shared" ref="AL235:AL291" ca="1" si="51">RANDBETWEEN(0,1000)</f>
        <v>390</v>
      </c>
      <c r="AM235" s="16">
        <f t="shared" ca="1" si="47"/>
        <v>47.439</v>
      </c>
    </row>
    <row r="236" spans="1:39" x14ac:dyDescent="0.25">
      <c r="A236" s="4">
        <v>835</v>
      </c>
      <c r="B236" s="4" t="s">
        <v>279</v>
      </c>
      <c r="C236" s="4" t="s">
        <v>19</v>
      </c>
      <c r="D236" s="4" t="s">
        <v>18</v>
      </c>
      <c r="E236" s="5">
        <v>36.84216</v>
      </c>
      <c r="F236" s="5">
        <v>47.65155</v>
      </c>
      <c r="G236" s="6">
        <v>1.5E-3</v>
      </c>
      <c r="H236" s="7">
        <v>270</v>
      </c>
      <c r="I236" s="4">
        <v>100</v>
      </c>
      <c r="J236" s="4">
        <v>100</v>
      </c>
      <c r="K236" s="8">
        <v>0.4</v>
      </c>
      <c r="L236" s="4">
        <v>15</v>
      </c>
      <c r="M236" s="9">
        <v>0.6</v>
      </c>
      <c r="N236" s="4">
        <v>5</v>
      </c>
      <c r="O236" s="4">
        <v>10</v>
      </c>
      <c r="AE236">
        <f t="shared" ca="1" si="49"/>
        <v>6022</v>
      </c>
      <c r="AF236">
        <f t="shared" ca="1" si="50"/>
        <v>36.602200000000003</v>
      </c>
      <c r="AI236" s="4" t="s">
        <v>41</v>
      </c>
      <c r="AJ236" t="str">
        <f t="shared" si="48"/>
        <v>Infantry Squad  #835</v>
      </c>
      <c r="AL236" s="16">
        <f t="shared" ca="1" si="51"/>
        <v>723</v>
      </c>
      <c r="AM236" s="16">
        <f t="shared" ca="1" si="47"/>
        <v>47.472299999999997</v>
      </c>
    </row>
    <row r="237" spans="1:39" x14ac:dyDescent="0.25">
      <c r="A237" s="4">
        <v>836</v>
      </c>
      <c r="B237" s="4" t="s">
        <v>280</v>
      </c>
      <c r="C237" s="4" t="s">
        <v>19</v>
      </c>
      <c r="D237" s="4" t="s">
        <v>18</v>
      </c>
      <c r="E237" s="5">
        <v>36.877279999999999</v>
      </c>
      <c r="F237" s="5">
        <v>47.61824</v>
      </c>
      <c r="G237" s="6">
        <v>1.5E-3</v>
      </c>
      <c r="H237" s="7">
        <v>270</v>
      </c>
      <c r="I237" s="4">
        <v>100</v>
      </c>
      <c r="J237" s="4">
        <v>100</v>
      </c>
      <c r="K237" s="8">
        <v>0.4</v>
      </c>
      <c r="L237" s="4">
        <v>15</v>
      </c>
      <c r="M237" s="9">
        <v>0.6</v>
      </c>
      <c r="N237" s="4">
        <v>5</v>
      </c>
      <c r="O237" s="4">
        <v>10</v>
      </c>
      <c r="AE237">
        <f t="shared" ca="1" si="49"/>
        <v>6850</v>
      </c>
      <c r="AF237">
        <f t="shared" ca="1" si="50"/>
        <v>36.685000000000002</v>
      </c>
      <c r="AI237" s="4" t="s">
        <v>41</v>
      </c>
      <c r="AJ237" t="str">
        <f t="shared" si="48"/>
        <v>Infantry Squad  #836</v>
      </c>
      <c r="AL237" s="16">
        <f t="shared" ca="1" si="51"/>
        <v>421</v>
      </c>
      <c r="AM237" s="16">
        <f t="shared" ca="1" si="47"/>
        <v>47.442099999999996</v>
      </c>
    </row>
    <row r="238" spans="1:39" x14ac:dyDescent="0.25">
      <c r="A238" s="4">
        <v>837</v>
      </c>
      <c r="B238" s="4" t="s">
        <v>281</v>
      </c>
      <c r="C238" s="4" t="s">
        <v>19</v>
      </c>
      <c r="D238" s="4" t="s">
        <v>16</v>
      </c>
      <c r="E238" s="5">
        <v>36.781179999999999</v>
      </c>
      <c r="F238" s="5">
        <v>47.62771</v>
      </c>
      <c r="G238" s="6">
        <v>2.2000000000000001E-3</v>
      </c>
      <c r="H238" s="7">
        <v>270</v>
      </c>
      <c r="I238" s="4">
        <v>120</v>
      </c>
      <c r="J238" s="4">
        <v>120</v>
      </c>
      <c r="K238" s="8">
        <v>2.8</v>
      </c>
      <c r="L238" s="4">
        <v>90</v>
      </c>
      <c r="M238" s="9">
        <v>0.8</v>
      </c>
      <c r="N238" s="4">
        <v>90</v>
      </c>
      <c r="O238" s="4">
        <v>3</v>
      </c>
      <c r="AE238">
        <f t="shared" ca="1" si="49"/>
        <v>1640</v>
      </c>
      <c r="AF238">
        <f t="shared" ca="1" si="50"/>
        <v>36.164000000000001</v>
      </c>
      <c r="AI238" s="4" t="s">
        <v>42</v>
      </c>
      <c r="AJ238" t="str">
        <f t="shared" si="48"/>
        <v>M1A2 Abrams  #837</v>
      </c>
      <c r="AL238" s="16">
        <f t="shared" ca="1" si="51"/>
        <v>367</v>
      </c>
      <c r="AM238" s="16">
        <f t="shared" ca="1" si="47"/>
        <v>47.436700000000002</v>
      </c>
    </row>
    <row r="239" spans="1:39" x14ac:dyDescent="0.25">
      <c r="A239" s="4">
        <v>838</v>
      </c>
      <c r="B239" s="4" t="s">
        <v>282</v>
      </c>
      <c r="C239" s="4" t="s">
        <v>19</v>
      </c>
      <c r="D239" s="4" t="s">
        <v>16</v>
      </c>
      <c r="E239" s="5">
        <v>36.870930000000001</v>
      </c>
      <c r="F239" s="5">
        <v>47.608060000000002</v>
      </c>
      <c r="G239" s="6">
        <v>2.2000000000000001E-3</v>
      </c>
      <c r="H239" s="7">
        <v>270</v>
      </c>
      <c r="I239" s="4">
        <v>120</v>
      </c>
      <c r="J239" s="4">
        <v>120</v>
      </c>
      <c r="K239" s="8">
        <v>2.8</v>
      </c>
      <c r="L239" s="4">
        <v>90</v>
      </c>
      <c r="M239" s="9">
        <v>0.8</v>
      </c>
      <c r="N239" s="4">
        <v>90</v>
      </c>
      <c r="O239" s="4">
        <v>3</v>
      </c>
      <c r="AE239">
        <f t="shared" ca="1" si="49"/>
        <v>9449</v>
      </c>
      <c r="AF239">
        <f t="shared" ca="1" si="50"/>
        <v>36.944899999999997</v>
      </c>
      <c r="AI239" s="4" t="s">
        <v>42</v>
      </c>
      <c r="AJ239" t="str">
        <f t="shared" si="48"/>
        <v>M1A2 Abrams  #838</v>
      </c>
      <c r="AL239" s="16">
        <f t="shared" ca="1" si="51"/>
        <v>193</v>
      </c>
      <c r="AM239" s="16">
        <f t="shared" ca="1" si="47"/>
        <v>47.4193</v>
      </c>
    </row>
    <row r="240" spans="1:39" x14ac:dyDescent="0.25">
      <c r="A240" s="4">
        <v>839</v>
      </c>
      <c r="B240" s="4" t="s">
        <v>283</v>
      </c>
      <c r="C240" s="4" t="s">
        <v>19</v>
      </c>
      <c r="D240" s="4" t="s">
        <v>16</v>
      </c>
      <c r="E240" s="5">
        <v>36.824939999999998</v>
      </c>
      <c r="F240" s="5">
        <v>47.640590000000003</v>
      </c>
      <c r="G240" s="6">
        <v>2.2000000000000001E-3</v>
      </c>
      <c r="H240" s="7">
        <v>270</v>
      </c>
      <c r="I240" s="4">
        <v>120</v>
      </c>
      <c r="J240" s="4">
        <v>120</v>
      </c>
      <c r="K240" s="8">
        <v>2.8</v>
      </c>
      <c r="L240" s="4">
        <v>90</v>
      </c>
      <c r="M240" s="9">
        <v>0.8</v>
      </c>
      <c r="N240" s="4">
        <v>90</v>
      </c>
      <c r="O240" s="4">
        <v>3</v>
      </c>
      <c r="AE240">
        <f t="shared" ca="1" si="49"/>
        <v>6333</v>
      </c>
      <c r="AF240">
        <f t="shared" ca="1" si="50"/>
        <v>36.633299999999998</v>
      </c>
      <c r="AI240" s="4" t="s">
        <v>42</v>
      </c>
      <c r="AJ240" t="str">
        <f t="shared" si="48"/>
        <v>M1A2 Abrams  #839</v>
      </c>
      <c r="AL240" s="16">
        <f t="shared" ca="1" si="51"/>
        <v>89</v>
      </c>
      <c r="AM240" s="16">
        <f t="shared" ca="1" si="47"/>
        <v>47.408899999999996</v>
      </c>
    </row>
    <row r="241" spans="1:39" x14ac:dyDescent="0.25">
      <c r="A241" s="4">
        <v>840</v>
      </c>
      <c r="B241" s="4" t="s">
        <v>284</v>
      </c>
      <c r="C241" s="4" t="s">
        <v>19</v>
      </c>
      <c r="D241" s="4" t="s">
        <v>17</v>
      </c>
      <c r="E241" s="5">
        <v>36.797759999999997</v>
      </c>
      <c r="F241" s="5">
        <v>47.617579999999997</v>
      </c>
      <c r="G241" s="6">
        <v>3.2000000000000002E-3</v>
      </c>
      <c r="H241" s="7">
        <v>270</v>
      </c>
      <c r="I241" s="4">
        <v>65</v>
      </c>
      <c r="J241" s="4">
        <v>65</v>
      </c>
      <c r="K241" s="8">
        <v>1.8</v>
      </c>
      <c r="L241" s="4">
        <v>45</v>
      </c>
      <c r="M241" s="9">
        <v>0.73</v>
      </c>
      <c r="N241" s="4">
        <v>35</v>
      </c>
      <c r="O241" s="4">
        <v>6</v>
      </c>
      <c r="AE241">
        <f t="shared" ca="1" si="49"/>
        <v>7112</v>
      </c>
      <c r="AF241">
        <f t="shared" ca="1" si="50"/>
        <v>36.711199999999998</v>
      </c>
      <c r="AI241" s="4" t="s">
        <v>43</v>
      </c>
      <c r="AJ241" t="str">
        <f t="shared" si="48"/>
        <v>M2 Bradley  #840</v>
      </c>
      <c r="AL241" s="16">
        <f t="shared" ca="1" si="51"/>
        <v>494</v>
      </c>
      <c r="AM241" s="16">
        <f t="shared" ca="1" si="47"/>
        <v>47.449399999999997</v>
      </c>
    </row>
    <row r="242" spans="1:39" x14ac:dyDescent="0.25">
      <c r="A242" s="4">
        <v>841</v>
      </c>
      <c r="B242" s="4" t="s">
        <v>285</v>
      </c>
      <c r="C242" s="4" t="s">
        <v>19</v>
      </c>
      <c r="D242" s="4" t="s">
        <v>17</v>
      </c>
      <c r="E242" s="5">
        <v>36.843670000000003</v>
      </c>
      <c r="F242" s="5">
        <v>47.616239999999998</v>
      </c>
      <c r="G242" s="6">
        <v>3.2000000000000002E-3</v>
      </c>
      <c r="H242" s="7">
        <v>270</v>
      </c>
      <c r="I242" s="4">
        <v>65</v>
      </c>
      <c r="J242" s="4">
        <v>65</v>
      </c>
      <c r="K242" s="8">
        <v>1.8</v>
      </c>
      <c r="L242" s="4">
        <v>45</v>
      </c>
      <c r="M242" s="9">
        <v>0.73</v>
      </c>
      <c r="N242" s="4">
        <v>35</v>
      </c>
      <c r="O242" s="4">
        <v>6</v>
      </c>
      <c r="AE242">
        <f t="shared" ca="1" si="49"/>
        <v>2226</v>
      </c>
      <c r="AF242">
        <f t="shared" ca="1" si="50"/>
        <v>36.2226</v>
      </c>
      <c r="AI242" s="4" t="s">
        <v>43</v>
      </c>
      <c r="AJ242" t="str">
        <f t="shared" si="48"/>
        <v>M2 Bradley  #841</v>
      </c>
      <c r="AL242" s="16">
        <f t="shared" ca="1" si="51"/>
        <v>463</v>
      </c>
      <c r="AM242" s="16">
        <f t="shared" ca="1" si="47"/>
        <v>47.446300000000001</v>
      </c>
    </row>
    <row r="243" spans="1:39" x14ac:dyDescent="0.25">
      <c r="A243" s="4">
        <v>842</v>
      </c>
      <c r="B243" s="4" t="s">
        <v>286</v>
      </c>
      <c r="C243" s="4" t="s">
        <v>19</v>
      </c>
      <c r="D243" s="4" t="s">
        <v>17</v>
      </c>
      <c r="E243" s="5">
        <v>36.869999999999997</v>
      </c>
      <c r="F243" s="5">
        <v>47.602400000000003</v>
      </c>
      <c r="G243" s="6">
        <v>3.8E-3</v>
      </c>
      <c r="H243" s="7">
        <v>270</v>
      </c>
      <c r="I243" s="4">
        <v>55</v>
      </c>
      <c r="J243" s="4">
        <v>55</v>
      </c>
      <c r="K243" s="8">
        <v>1.5</v>
      </c>
      <c r="L243" s="4">
        <v>30</v>
      </c>
      <c r="M243" s="9">
        <v>0.68</v>
      </c>
      <c r="N243" s="4">
        <v>25</v>
      </c>
      <c r="O243" s="4">
        <v>7</v>
      </c>
      <c r="AE243">
        <f t="shared" ca="1" si="49"/>
        <v>2384</v>
      </c>
      <c r="AF243">
        <f t="shared" ca="1" si="50"/>
        <v>36.238399999999999</v>
      </c>
      <c r="AI243" s="4" t="s">
        <v>44</v>
      </c>
      <c r="AJ243" t="str">
        <f t="shared" si="48"/>
        <v>Stryker  #842</v>
      </c>
      <c r="AL243" s="16">
        <f t="shared" ca="1" si="51"/>
        <v>33</v>
      </c>
      <c r="AM243" s="16">
        <f t="shared" ca="1" si="47"/>
        <v>47.403300000000002</v>
      </c>
    </row>
    <row r="244" spans="1:39" x14ac:dyDescent="0.25">
      <c r="A244" s="4">
        <v>843</v>
      </c>
      <c r="B244" s="4" t="s">
        <v>287</v>
      </c>
      <c r="C244" s="4" t="s">
        <v>19</v>
      </c>
      <c r="D244" s="4" t="s">
        <v>18</v>
      </c>
      <c r="E244" s="5">
        <v>36.825589999999998</v>
      </c>
      <c r="F244" s="5">
        <v>47.630670000000002</v>
      </c>
      <c r="G244" s="6">
        <v>1.5E-3</v>
      </c>
      <c r="H244" s="7">
        <v>270</v>
      </c>
      <c r="I244" s="4">
        <v>100</v>
      </c>
      <c r="J244" s="4">
        <v>100</v>
      </c>
      <c r="K244" s="8">
        <v>0.4</v>
      </c>
      <c r="L244" s="4">
        <v>15</v>
      </c>
      <c r="M244" s="9">
        <v>0.6</v>
      </c>
      <c r="N244" s="4">
        <v>5</v>
      </c>
      <c r="O244" s="4">
        <v>10</v>
      </c>
      <c r="AE244">
        <f t="shared" ca="1" si="49"/>
        <v>1087</v>
      </c>
      <c r="AF244">
        <f t="shared" ca="1" si="50"/>
        <v>36.108699999999999</v>
      </c>
      <c r="AI244" s="4" t="s">
        <v>41</v>
      </c>
      <c r="AJ244" t="str">
        <f t="shared" si="48"/>
        <v>Infantry Squad  #843</v>
      </c>
      <c r="AL244" s="16">
        <f t="shared" ca="1" si="51"/>
        <v>394</v>
      </c>
      <c r="AM244" s="16">
        <f t="shared" ca="1" si="47"/>
        <v>47.439399999999999</v>
      </c>
    </row>
    <row r="245" spans="1:39" x14ac:dyDescent="0.25">
      <c r="A245" s="4">
        <v>844</v>
      </c>
      <c r="B245" s="4" t="s">
        <v>288</v>
      </c>
      <c r="C245" s="4" t="s">
        <v>19</v>
      </c>
      <c r="D245" s="4" t="s">
        <v>18</v>
      </c>
      <c r="E245" s="5">
        <v>36.83455</v>
      </c>
      <c r="F245" s="5">
        <v>47.633760000000002</v>
      </c>
      <c r="G245" s="6">
        <v>1.5E-3</v>
      </c>
      <c r="H245" s="7">
        <v>270</v>
      </c>
      <c r="I245" s="4">
        <v>100</v>
      </c>
      <c r="J245" s="4">
        <v>100</v>
      </c>
      <c r="K245" s="8">
        <v>0.4</v>
      </c>
      <c r="L245" s="4">
        <v>15</v>
      </c>
      <c r="M245" s="9">
        <v>0.6</v>
      </c>
      <c r="N245" s="4">
        <v>5</v>
      </c>
      <c r="O245" s="4">
        <v>10</v>
      </c>
      <c r="AE245">
        <f t="shared" ca="1" si="49"/>
        <v>5783</v>
      </c>
      <c r="AF245">
        <f t="shared" ca="1" si="50"/>
        <v>36.578299999999999</v>
      </c>
      <c r="AI245" s="4" t="s">
        <v>41</v>
      </c>
      <c r="AJ245" t="str">
        <f t="shared" si="48"/>
        <v>Infantry Squad  #844</v>
      </c>
      <c r="AL245" s="16">
        <f t="shared" ca="1" si="51"/>
        <v>24</v>
      </c>
      <c r="AM245" s="16">
        <f t="shared" ca="1" si="47"/>
        <v>47.4024</v>
      </c>
    </row>
    <row r="246" spans="1:39" x14ac:dyDescent="0.25">
      <c r="A246" s="4">
        <v>845</v>
      </c>
      <c r="B246" s="4" t="s">
        <v>289</v>
      </c>
      <c r="C246" s="4" t="s">
        <v>19</v>
      </c>
      <c r="D246" s="4" t="s">
        <v>18</v>
      </c>
      <c r="E246" s="5">
        <v>36.803739999999998</v>
      </c>
      <c r="F246" s="5">
        <v>47.661520000000003</v>
      </c>
      <c r="G246" s="6">
        <v>1.5E-3</v>
      </c>
      <c r="H246" s="7">
        <v>270</v>
      </c>
      <c r="I246" s="4">
        <v>100</v>
      </c>
      <c r="J246" s="4">
        <v>100</v>
      </c>
      <c r="K246" s="8">
        <v>0.4</v>
      </c>
      <c r="L246" s="4">
        <v>15</v>
      </c>
      <c r="M246" s="9">
        <v>0.6</v>
      </c>
      <c r="N246" s="4">
        <v>5</v>
      </c>
      <c r="O246" s="4">
        <v>10</v>
      </c>
      <c r="AE246">
        <f t="shared" ca="1" si="49"/>
        <v>4829</v>
      </c>
      <c r="AF246">
        <f t="shared" ca="1" si="50"/>
        <v>36.482900000000001</v>
      </c>
      <c r="AI246" s="4" t="s">
        <v>41</v>
      </c>
      <c r="AJ246" t="str">
        <f t="shared" si="48"/>
        <v>Infantry Squad  #845</v>
      </c>
      <c r="AL246" s="16">
        <f t="shared" ca="1" si="51"/>
        <v>547</v>
      </c>
      <c r="AM246" s="16">
        <f t="shared" ca="1" si="47"/>
        <v>47.454699999999995</v>
      </c>
    </row>
    <row r="247" spans="1:39" x14ac:dyDescent="0.25">
      <c r="A247" s="4">
        <v>846</v>
      </c>
      <c r="B247" s="4" t="s">
        <v>290</v>
      </c>
      <c r="C247" s="4" t="s">
        <v>19</v>
      </c>
      <c r="D247" s="4" t="s">
        <v>16</v>
      </c>
      <c r="E247" s="5">
        <v>36.837870000000002</v>
      </c>
      <c r="F247" s="5">
        <v>47.638030000000001</v>
      </c>
      <c r="G247" s="6">
        <v>2.2000000000000001E-3</v>
      </c>
      <c r="H247" s="7">
        <v>270</v>
      </c>
      <c r="I247" s="4">
        <v>120</v>
      </c>
      <c r="J247" s="4">
        <v>120</v>
      </c>
      <c r="K247" s="8">
        <v>2.8</v>
      </c>
      <c r="L247" s="4">
        <v>90</v>
      </c>
      <c r="M247" s="9">
        <v>0.8</v>
      </c>
      <c r="N247" s="4">
        <v>90</v>
      </c>
      <c r="O247" s="4">
        <v>3</v>
      </c>
      <c r="AE247">
        <f t="shared" ca="1" si="49"/>
        <v>1308</v>
      </c>
      <c r="AF247">
        <f t="shared" ca="1" si="50"/>
        <v>36.130800000000001</v>
      </c>
      <c r="AI247" s="4" t="s">
        <v>42</v>
      </c>
      <c r="AJ247" t="str">
        <f t="shared" si="48"/>
        <v>M1A2 Abrams  #846</v>
      </c>
      <c r="AL247" s="16">
        <f t="shared" ca="1" si="51"/>
        <v>918</v>
      </c>
      <c r="AM247" s="16">
        <f t="shared" ca="1" si="47"/>
        <v>47.491799999999998</v>
      </c>
    </row>
    <row r="248" spans="1:39" x14ac:dyDescent="0.25">
      <c r="A248" s="4">
        <v>847</v>
      </c>
      <c r="B248" s="4" t="s">
        <v>291</v>
      </c>
      <c r="C248" s="4" t="s">
        <v>19</v>
      </c>
      <c r="D248" s="4" t="s">
        <v>16</v>
      </c>
      <c r="E248" s="5">
        <v>36.875500000000002</v>
      </c>
      <c r="F248" s="5">
        <v>47.614640000000001</v>
      </c>
      <c r="G248" s="6">
        <v>2.2000000000000001E-3</v>
      </c>
      <c r="H248" s="7">
        <v>270</v>
      </c>
      <c r="I248" s="4">
        <v>120</v>
      </c>
      <c r="J248" s="4">
        <v>120</v>
      </c>
      <c r="K248" s="8">
        <v>2.8</v>
      </c>
      <c r="L248" s="4">
        <v>90</v>
      </c>
      <c r="M248" s="9">
        <v>0.8</v>
      </c>
      <c r="N248" s="4">
        <v>90</v>
      </c>
      <c r="O248" s="4">
        <v>3</v>
      </c>
      <c r="AE248">
        <f t="shared" ca="1" si="49"/>
        <v>2391</v>
      </c>
      <c r="AF248">
        <f t="shared" ca="1" si="50"/>
        <v>36.239100000000001</v>
      </c>
      <c r="AI248" s="4" t="s">
        <v>42</v>
      </c>
      <c r="AJ248" t="str">
        <f t="shared" si="48"/>
        <v>M1A2 Abrams  #847</v>
      </c>
      <c r="AL248" s="16">
        <f t="shared" ca="1" si="51"/>
        <v>390</v>
      </c>
      <c r="AM248" s="16">
        <f t="shared" ca="1" si="47"/>
        <v>47.439</v>
      </c>
    </row>
    <row r="249" spans="1:39" x14ac:dyDescent="0.25">
      <c r="A249" s="4">
        <v>848</v>
      </c>
      <c r="B249" s="4" t="s">
        <v>292</v>
      </c>
      <c r="C249" s="4" t="s">
        <v>19</v>
      </c>
      <c r="D249" s="4" t="s">
        <v>16</v>
      </c>
      <c r="E249" s="5">
        <v>36.771210000000004</v>
      </c>
      <c r="F249" s="5">
        <v>47.606009999999998</v>
      </c>
      <c r="G249" s="6">
        <v>2.2000000000000001E-3</v>
      </c>
      <c r="H249" s="7">
        <v>270</v>
      </c>
      <c r="I249" s="4">
        <v>120</v>
      </c>
      <c r="J249" s="4">
        <v>120</v>
      </c>
      <c r="K249" s="8">
        <v>2.8</v>
      </c>
      <c r="L249" s="4">
        <v>90</v>
      </c>
      <c r="M249" s="9">
        <v>0.8</v>
      </c>
      <c r="N249" s="4">
        <v>90</v>
      </c>
      <c r="O249" s="4">
        <v>3</v>
      </c>
      <c r="AE249">
        <f t="shared" ca="1" si="49"/>
        <v>5888</v>
      </c>
      <c r="AF249">
        <f t="shared" ca="1" si="50"/>
        <v>36.588799999999999</v>
      </c>
      <c r="AI249" s="4" t="s">
        <v>42</v>
      </c>
      <c r="AJ249" t="str">
        <f t="shared" si="48"/>
        <v>M1A2 Abrams  #848</v>
      </c>
      <c r="AL249" s="16">
        <f t="shared" ca="1" si="51"/>
        <v>438</v>
      </c>
      <c r="AM249" s="16">
        <f t="shared" ca="1" si="47"/>
        <v>47.443799999999996</v>
      </c>
    </row>
    <row r="250" spans="1:39" x14ac:dyDescent="0.25">
      <c r="A250" s="4">
        <v>849</v>
      </c>
      <c r="B250" s="4" t="s">
        <v>293</v>
      </c>
      <c r="C250" s="4" t="s">
        <v>19</v>
      </c>
      <c r="D250" s="4" t="s">
        <v>17</v>
      </c>
      <c r="E250" s="5">
        <v>36.878259999999997</v>
      </c>
      <c r="F250" s="5">
        <v>47.656419999999997</v>
      </c>
      <c r="G250" s="6">
        <v>3.2000000000000002E-3</v>
      </c>
      <c r="H250" s="7">
        <v>270</v>
      </c>
      <c r="I250" s="4">
        <v>65</v>
      </c>
      <c r="J250" s="4">
        <v>65</v>
      </c>
      <c r="K250" s="8">
        <v>1.8</v>
      </c>
      <c r="L250" s="4">
        <v>45</v>
      </c>
      <c r="M250" s="9">
        <v>0.73</v>
      </c>
      <c r="N250" s="4">
        <v>35</v>
      </c>
      <c r="O250" s="4">
        <v>6</v>
      </c>
      <c r="AE250">
        <f t="shared" ca="1" si="49"/>
        <v>9093</v>
      </c>
      <c r="AF250">
        <f t="shared" ca="1" si="50"/>
        <v>36.909300000000002</v>
      </c>
      <c r="AI250" s="4" t="s">
        <v>43</v>
      </c>
      <c r="AJ250" t="str">
        <f t="shared" si="48"/>
        <v>M2 Bradley  #849</v>
      </c>
      <c r="AL250" s="16">
        <f t="shared" ca="1" si="51"/>
        <v>245</v>
      </c>
      <c r="AM250" s="16">
        <f t="shared" ca="1" si="47"/>
        <v>47.424500000000002</v>
      </c>
    </row>
    <row r="251" spans="1:39" x14ac:dyDescent="0.25">
      <c r="A251" s="4">
        <v>850</v>
      </c>
      <c r="B251" s="4" t="s">
        <v>294</v>
      </c>
      <c r="C251" s="4" t="s">
        <v>19</v>
      </c>
      <c r="D251" s="4" t="s">
        <v>17</v>
      </c>
      <c r="E251" s="5">
        <v>36.87903</v>
      </c>
      <c r="F251" s="5">
        <v>47.613329999999998</v>
      </c>
      <c r="G251" s="6">
        <v>3.2000000000000002E-3</v>
      </c>
      <c r="H251" s="7">
        <v>270</v>
      </c>
      <c r="I251" s="4">
        <v>65</v>
      </c>
      <c r="J251" s="4">
        <v>65</v>
      </c>
      <c r="K251" s="8">
        <v>1.8</v>
      </c>
      <c r="L251" s="4">
        <v>45</v>
      </c>
      <c r="M251" s="9">
        <v>0.73</v>
      </c>
      <c r="N251" s="4">
        <v>35</v>
      </c>
      <c r="O251" s="4">
        <v>6</v>
      </c>
      <c r="AE251">
        <f t="shared" ca="1" si="49"/>
        <v>5464</v>
      </c>
      <c r="AF251">
        <f t="shared" ca="1" si="50"/>
        <v>36.546399999999998</v>
      </c>
      <c r="AI251" s="4" t="s">
        <v>43</v>
      </c>
      <c r="AJ251" t="str">
        <f t="shared" si="48"/>
        <v>M2 Bradley  #850</v>
      </c>
      <c r="AL251" s="16">
        <f t="shared" ca="1" si="51"/>
        <v>980</v>
      </c>
      <c r="AM251" s="16">
        <f t="shared" ca="1" si="47"/>
        <v>47.497999999999998</v>
      </c>
    </row>
    <row r="252" spans="1:39" x14ac:dyDescent="0.25">
      <c r="A252" s="4">
        <v>851</v>
      </c>
      <c r="B252" s="4" t="s">
        <v>295</v>
      </c>
      <c r="C252" s="4" t="s">
        <v>19</v>
      </c>
      <c r="D252" s="4" t="s">
        <v>17</v>
      </c>
      <c r="E252" s="5">
        <v>36.87453</v>
      </c>
      <c r="F252" s="5">
        <v>47.648130000000002</v>
      </c>
      <c r="G252" s="6">
        <v>3.8E-3</v>
      </c>
      <c r="H252" s="7">
        <v>270</v>
      </c>
      <c r="I252" s="4">
        <v>55</v>
      </c>
      <c r="J252" s="4">
        <v>55</v>
      </c>
      <c r="K252" s="8">
        <v>1.5</v>
      </c>
      <c r="L252" s="4">
        <v>30</v>
      </c>
      <c r="M252" s="9">
        <v>0.68</v>
      </c>
      <c r="N252" s="4">
        <v>25</v>
      </c>
      <c r="O252" s="4">
        <v>7</v>
      </c>
      <c r="AE252">
        <f t="shared" ca="1" si="49"/>
        <v>4934</v>
      </c>
      <c r="AF252">
        <f t="shared" ca="1" si="50"/>
        <v>36.493400000000001</v>
      </c>
      <c r="AI252" s="4" t="s">
        <v>44</v>
      </c>
      <c r="AJ252" t="str">
        <f t="shared" si="48"/>
        <v>Stryker  #851</v>
      </c>
      <c r="AL252" s="16">
        <f t="shared" ca="1" si="51"/>
        <v>338</v>
      </c>
      <c r="AM252" s="16">
        <f t="shared" ca="1" si="47"/>
        <v>47.433799999999998</v>
      </c>
    </row>
    <row r="253" spans="1:39" x14ac:dyDescent="0.25">
      <c r="A253" s="4">
        <v>852</v>
      </c>
      <c r="B253" s="4" t="s">
        <v>296</v>
      </c>
      <c r="C253" s="4" t="s">
        <v>19</v>
      </c>
      <c r="D253" s="4" t="s">
        <v>18</v>
      </c>
      <c r="E253" s="5">
        <v>36.880769999999998</v>
      </c>
      <c r="F253" s="5">
        <v>47.630949999999999</v>
      </c>
      <c r="G253" s="6">
        <v>1.5E-3</v>
      </c>
      <c r="H253" s="7">
        <v>270</v>
      </c>
      <c r="I253" s="4">
        <v>100</v>
      </c>
      <c r="J253" s="4">
        <v>100</v>
      </c>
      <c r="K253" s="8">
        <v>0.4</v>
      </c>
      <c r="L253" s="4">
        <v>15</v>
      </c>
      <c r="M253" s="9">
        <v>0.6</v>
      </c>
      <c r="N253" s="4">
        <v>5</v>
      </c>
      <c r="O253" s="4">
        <v>10</v>
      </c>
      <c r="AE253">
        <f t="shared" ca="1" si="49"/>
        <v>7141</v>
      </c>
      <c r="AF253">
        <f t="shared" ca="1" si="50"/>
        <v>36.714100000000002</v>
      </c>
      <c r="AI253" s="4" t="s">
        <v>41</v>
      </c>
      <c r="AJ253" t="str">
        <f t="shared" si="48"/>
        <v>Infantry Squad  #852</v>
      </c>
      <c r="AL253" s="16">
        <f t="shared" ca="1" si="51"/>
        <v>528</v>
      </c>
      <c r="AM253" s="16">
        <f t="shared" ca="1" si="47"/>
        <v>47.452799999999996</v>
      </c>
    </row>
    <row r="254" spans="1:39" x14ac:dyDescent="0.25">
      <c r="A254" s="4">
        <v>853</v>
      </c>
      <c r="B254" s="4" t="s">
        <v>297</v>
      </c>
      <c r="C254" s="4" t="s">
        <v>19</v>
      </c>
      <c r="D254" s="4" t="s">
        <v>18</v>
      </c>
      <c r="E254" s="5">
        <v>36.814990000000002</v>
      </c>
      <c r="F254" s="5">
        <v>47.669049999999999</v>
      </c>
      <c r="G254" s="6">
        <v>1.5E-3</v>
      </c>
      <c r="H254" s="7">
        <v>270</v>
      </c>
      <c r="I254" s="4">
        <v>100</v>
      </c>
      <c r="J254" s="4">
        <v>100</v>
      </c>
      <c r="K254" s="8">
        <v>0.4</v>
      </c>
      <c r="L254" s="4">
        <v>15</v>
      </c>
      <c r="M254" s="9">
        <v>0.6</v>
      </c>
      <c r="N254" s="4">
        <v>5</v>
      </c>
      <c r="O254" s="4">
        <v>10</v>
      </c>
      <c r="AE254">
        <f t="shared" ca="1" si="49"/>
        <v>8459</v>
      </c>
      <c r="AF254">
        <f t="shared" ca="1" si="50"/>
        <v>36.8459</v>
      </c>
      <c r="AI254" s="4" t="s">
        <v>41</v>
      </c>
      <c r="AJ254" t="str">
        <f t="shared" si="48"/>
        <v>Infantry Squad  #853</v>
      </c>
      <c r="AL254" s="16">
        <f t="shared" ca="1" si="51"/>
        <v>863</v>
      </c>
      <c r="AM254" s="16">
        <f t="shared" ca="1" si="47"/>
        <v>47.4863</v>
      </c>
    </row>
    <row r="255" spans="1:39" x14ac:dyDescent="0.25">
      <c r="A255" s="4">
        <v>854</v>
      </c>
      <c r="B255" s="4" t="s">
        <v>298</v>
      </c>
      <c r="C255" s="4" t="s">
        <v>19</v>
      </c>
      <c r="D255" s="4" t="s">
        <v>18</v>
      </c>
      <c r="E255" s="5">
        <v>36.79918</v>
      </c>
      <c r="F255" s="5">
        <v>47.676189999999998</v>
      </c>
      <c r="G255" s="6">
        <v>1.5E-3</v>
      </c>
      <c r="H255" s="7">
        <v>270</v>
      </c>
      <c r="I255" s="4">
        <v>100</v>
      </c>
      <c r="J255" s="4">
        <v>100</v>
      </c>
      <c r="K255" s="8">
        <v>0.4</v>
      </c>
      <c r="L255" s="4">
        <v>15</v>
      </c>
      <c r="M255" s="9">
        <v>0.6</v>
      </c>
      <c r="N255" s="4">
        <v>5</v>
      </c>
      <c r="O255" s="4">
        <v>10</v>
      </c>
      <c r="AE255">
        <f t="shared" ca="1" si="49"/>
        <v>4552</v>
      </c>
      <c r="AF255">
        <f t="shared" ca="1" si="50"/>
        <v>36.455199999999998</v>
      </c>
      <c r="AI255" s="4" t="s">
        <v>41</v>
      </c>
      <c r="AJ255" t="str">
        <f t="shared" si="48"/>
        <v>Infantry Squad  #854</v>
      </c>
      <c r="AL255" s="16">
        <f t="shared" ca="1" si="51"/>
        <v>62</v>
      </c>
      <c r="AM255" s="16">
        <f t="shared" ca="1" si="47"/>
        <v>47.406199999999998</v>
      </c>
    </row>
    <row r="256" spans="1:39" x14ac:dyDescent="0.25">
      <c r="A256" s="4">
        <v>855</v>
      </c>
      <c r="B256" s="4" t="s">
        <v>299</v>
      </c>
      <c r="C256" s="4" t="s">
        <v>19</v>
      </c>
      <c r="D256" s="4" t="s">
        <v>16</v>
      </c>
      <c r="E256" s="5">
        <v>36.829369999999997</v>
      </c>
      <c r="F256" s="5">
        <v>47.607939999999999</v>
      </c>
      <c r="G256" s="6">
        <v>2.2000000000000001E-3</v>
      </c>
      <c r="H256" s="7">
        <v>270</v>
      </c>
      <c r="I256" s="4">
        <v>120</v>
      </c>
      <c r="J256" s="4">
        <v>120</v>
      </c>
      <c r="K256" s="8">
        <v>2.8</v>
      </c>
      <c r="L256" s="4">
        <v>90</v>
      </c>
      <c r="M256" s="9">
        <v>0.8</v>
      </c>
      <c r="N256" s="4">
        <v>90</v>
      </c>
      <c r="O256" s="4">
        <v>3</v>
      </c>
      <c r="AE256">
        <f t="shared" ca="1" si="49"/>
        <v>5241</v>
      </c>
      <c r="AF256">
        <f t="shared" ca="1" si="50"/>
        <v>36.524099999999997</v>
      </c>
      <c r="AI256" s="4" t="s">
        <v>42</v>
      </c>
      <c r="AJ256" t="str">
        <f t="shared" si="48"/>
        <v>M1A2 Abrams  #855</v>
      </c>
      <c r="AL256" s="16">
        <f t="shared" ca="1" si="51"/>
        <v>619</v>
      </c>
      <c r="AM256" s="16">
        <f t="shared" ca="1" si="47"/>
        <v>47.4619</v>
      </c>
    </row>
    <row r="257" spans="1:39" x14ac:dyDescent="0.25">
      <c r="A257" s="4">
        <v>856</v>
      </c>
      <c r="B257" s="4" t="s">
        <v>300</v>
      </c>
      <c r="C257" s="4" t="s">
        <v>19</v>
      </c>
      <c r="D257" s="4" t="s">
        <v>16</v>
      </c>
      <c r="E257" s="5">
        <v>36.7575</v>
      </c>
      <c r="F257" s="5">
        <v>47.613930000000003</v>
      </c>
      <c r="G257" s="6">
        <v>2.2000000000000001E-3</v>
      </c>
      <c r="H257" s="7">
        <v>270</v>
      </c>
      <c r="I257" s="4">
        <v>120</v>
      </c>
      <c r="J257" s="4">
        <v>120</v>
      </c>
      <c r="K257" s="8">
        <v>2.8</v>
      </c>
      <c r="L257" s="4">
        <v>90</v>
      </c>
      <c r="M257" s="9">
        <v>0.8</v>
      </c>
      <c r="N257" s="4">
        <v>90</v>
      </c>
      <c r="O257" s="4">
        <v>3</v>
      </c>
      <c r="AE257">
        <f t="shared" ca="1" si="49"/>
        <v>8743</v>
      </c>
      <c r="AF257">
        <f t="shared" ca="1" si="50"/>
        <v>36.874299999999998</v>
      </c>
      <c r="AI257" s="4" t="s">
        <v>42</v>
      </c>
      <c r="AJ257" t="str">
        <f t="shared" si="48"/>
        <v>M1A2 Abrams  #856</v>
      </c>
      <c r="AL257" s="16">
        <f t="shared" ca="1" si="51"/>
        <v>815</v>
      </c>
      <c r="AM257" s="16">
        <f t="shared" ca="1" si="47"/>
        <v>47.481499999999997</v>
      </c>
    </row>
    <row r="258" spans="1:39" x14ac:dyDescent="0.25">
      <c r="A258" s="4">
        <v>857</v>
      </c>
      <c r="B258" s="4" t="s">
        <v>301</v>
      </c>
      <c r="C258" s="4" t="s">
        <v>19</v>
      </c>
      <c r="D258" s="4" t="s">
        <v>16</v>
      </c>
      <c r="E258" s="5">
        <v>36.846350000000001</v>
      </c>
      <c r="F258" s="5">
        <v>47.65936</v>
      </c>
      <c r="G258" s="6">
        <v>2.2000000000000001E-3</v>
      </c>
      <c r="H258" s="7">
        <v>270</v>
      </c>
      <c r="I258" s="4">
        <v>120</v>
      </c>
      <c r="J258" s="4">
        <v>120</v>
      </c>
      <c r="K258" s="8">
        <v>2.8</v>
      </c>
      <c r="L258" s="4">
        <v>90</v>
      </c>
      <c r="M258" s="9">
        <v>0.8</v>
      </c>
      <c r="N258" s="4">
        <v>90</v>
      </c>
      <c r="O258" s="4">
        <v>3</v>
      </c>
      <c r="AE258">
        <f t="shared" ca="1" si="49"/>
        <v>5549</v>
      </c>
      <c r="AF258">
        <f t="shared" ca="1" si="50"/>
        <v>36.554900000000004</v>
      </c>
      <c r="AI258" s="4" t="s">
        <v>42</v>
      </c>
      <c r="AJ258" t="str">
        <f t="shared" si="48"/>
        <v>M1A2 Abrams  #857</v>
      </c>
      <c r="AL258" s="16">
        <f t="shared" ca="1" si="51"/>
        <v>623</v>
      </c>
      <c r="AM258" s="16">
        <f t="shared" ca="1" si="47"/>
        <v>47.462299999999999</v>
      </c>
    </row>
    <row r="259" spans="1:39" x14ac:dyDescent="0.25">
      <c r="A259" s="4">
        <v>858</v>
      </c>
      <c r="B259" s="4" t="s">
        <v>302</v>
      </c>
      <c r="C259" s="4" t="s">
        <v>19</v>
      </c>
      <c r="D259" s="4" t="s">
        <v>17</v>
      </c>
      <c r="E259" s="5">
        <v>36.804139999999997</v>
      </c>
      <c r="F259" s="5">
        <v>47.648969999999998</v>
      </c>
      <c r="G259" s="6">
        <v>3.2000000000000002E-3</v>
      </c>
      <c r="H259" s="7">
        <v>270</v>
      </c>
      <c r="I259" s="4">
        <v>65</v>
      </c>
      <c r="J259" s="4">
        <v>65</v>
      </c>
      <c r="K259" s="8">
        <v>1.8</v>
      </c>
      <c r="L259" s="4">
        <v>45</v>
      </c>
      <c r="M259" s="9">
        <v>0.73</v>
      </c>
      <c r="N259" s="4">
        <v>35</v>
      </c>
      <c r="O259" s="4">
        <v>6</v>
      </c>
      <c r="AE259">
        <f t="shared" ca="1" si="49"/>
        <v>18</v>
      </c>
      <c r="AF259">
        <f t="shared" ca="1" si="50"/>
        <v>36.001800000000003</v>
      </c>
      <c r="AI259" s="4" t="s">
        <v>43</v>
      </c>
      <c r="AJ259" t="str">
        <f t="shared" ref="AJ259:AJ290" si="52">CONCATENATE(AI259," #",A259)</f>
        <v>M2 Bradley  #858</v>
      </c>
      <c r="AL259" s="16">
        <f t="shared" ca="1" si="51"/>
        <v>25</v>
      </c>
      <c r="AM259" s="16">
        <f t="shared" ca="1" si="47"/>
        <v>47.402499999999996</v>
      </c>
    </row>
    <row r="260" spans="1:39" x14ac:dyDescent="0.25">
      <c r="A260" s="4">
        <v>859</v>
      </c>
      <c r="B260" s="4" t="s">
        <v>303</v>
      </c>
      <c r="C260" s="4" t="s">
        <v>19</v>
      </c>
      <c r="D260" s="4" t="s">
        <v>17</v>
      </c>
      <c r="E260" s="5">
        <v>36.795299999999997</v>
      </c>
      <c r="F260" s="5">
        <v>47.674979999999998</v>
      </c>
      <c r="G260" s="6">
        <v>3.2000000000000002E-3</v>
      </c>
      <c r="H260" s="7">
        <v>270</v>
      </c>
      <c r="I260" s="4">
        <v>65</v>
      </c>
      <c r="J260" s="4">
        <v>65</v>
      </c>
      <c r="K260" s="8">
        <v>1.8</v>
      </c>
      <c r="L260" s="4">
        <v>45</v>
      </c>
      <c r="M260" s="9">
        <v>0.73</v>
      </c>
      <c r="N260" s="4">
        <v>35</v>
      </c>
      <c r="O260" s="4">
        <v>6</v>
      </c>
      <c r="AE260">
        <f t="shared" ca="1" si="49"/>
        <v>9566</v>
      </c>
      <c r="AF260">
        <f t="shared" ca="1" si="50"/>
        <v>36.956600000000002</v>
      </c>
      <c r="AI260" s="4" t="s">
        <v>43</v>
      </c>
      <c r="AJ260" t="str">
        <f t="shared" si="52"/>
        <v>M2 Bradley  #859</v>
      </c>
      <c r="AL260" s="16">
        <f t="shared" ca="1" si="51"/>
        <v>397</v>
      </c>
      <c r="AM260" s="16">
        <f t="shared" ca="1" si="47"/>
        <v>47.439700000000002</v>
      </c>
    </row>
    <row r="261" spans="1:39" x14ac:dyDescent="0.25">
      <c r="A261" s="4">
        <v>860</v>
      </c>
      <c r="B261" s="4" t="s">
        <v>304</v>
      </c>
      <c r="C261" s="4" t="s">
        <v>19</v>
      </c>
      <c r="D261" s="4" t="s">
        <v>17</v>
      </c>
      <c r="E261" s="5">
        <v>36.818739999999998</v>
      </c>
      <c r="F261" s="5">
        <v>47.605960000000003</v>
      </c>
      <c r="G261" s="6">
        <v>3.8E-3</v>
      </c>
      <c r="H261" s="7">
        <v>270</v>
      </c>
      <c r="I261" s="4">
        <v>55</v>
      </c>
      <c r="J261" s="4">
        <v>55</v>
      </c>
      <c r="K261" s="8">
        <v>1.5</v>
      </c>
      <c r="L261" s="4">
        <v>30</v>
      </c>
      <c r="M261" s="9">
        <v>0.68</v>
      </c>
      <c r="N261" s="4">
        <v>25</v>
      </c>
      <c r="O261" s="4">
        <v>7</v>
      </c>
      <c r="AE261">
        <f t="shared" ca="1" si="49"/>
        <v>3372</v>
      </c>
      <c r="AF261">
        <f t="shared" ca="1" si="50"/>
        <v>36.337200000000003</v>
      </c>
      <c r="AI261" s="4" t="s">
        <v>44</v>
      </c>
      <c r="AJ261" t="str">
        <f t="shared" si="52"/>
        <v>Stryker  #860</v>
      </c>
      <c r="AL261" s="16">
        <f t="shared" ca="1" si="51"/>
        <v>215</v>
      </c>
      <c r="AM261" s="16">
        <f t="shared" ca="1" si="47"/>
        <v>47.421500000000002</v>
      </c>
    </row>
    <row r="262" spans="1:39" x14ac:dyDescent="0.25">
      <c r="A262" s="4">
        <v>861</v>
      </c>
      <c r="B262" s="4" t="s">
        <v>305</v>
      </c>
      <c r="C262" s="4" t="s">
        <v>19</v>
      </c>
      <c r="D262" s="4" t="s">
        <v>18</v>
      </c>
      <c r="E262" s="5">
        <v>36.789839999999998</v>
      </c>
      <c r="F262" s="5">
        <v>47.619610000000002</v>
      </c>
      <c r="G262" s="6">
        <v>1.5E-3</v>
      </c>
      <c r="H262" s="7">
        <v>270</v>
      </c>
      <c r="I262" s="4">
        <v>100</v>
      </c>
      <c r="J262" s="4">
        <v>100</v>
      </c>
      <c r="K262" s="8">
        <v>0.4</v>
      </c>
      <c r="L262" s="4">
        <v>15</v>
      </c>
      <c r="M262" s="9">
        <v>0.6</v>
      </c>
      <c r="N262" s="4">
        <v>5</v>
      </c>
      <c r="O262" s="4">
        <v>10</v>
      </c>
      <c r="AE262">
        <f t="shared" ca="1" si="49"/>
        <v>5063</v>
      </c>
      <c r="AF262">
        <f t="shared" ca="1" si="50"/>
        <v>36.506300000000003</v>
      </c>
      <c r="AI262" s="4" t="s">
        <v>41</v>
      </c>
      <c r="AJ262" t="str">
        <f t="shared" si="52"/>
        <v>Infantry Squad  #861</v>
      </c>
      <c r="AL262" s="16">
        <f t="shared" ca="1" si="51"/>
        <v>324</v>
      </c>
      <c r="AM262" s="16">
        <f t="shared" ca="1" si="47"/>
        <v>47.432400000000001</v>
      </c>
    </row>
    <row r="263" spans="1:39" x14ac:dyDescent="0.25">
      <c r="A263" s="4">
        <v>862</v>
      </c>
      <c r="B263" s="4" t="s">
        <v>306</v>
      </c>
      <c r="C263" s="4" t="s">
        <v>19</v>
      </c>
      <c r="D263" s="4" t="s">
        <v>18</v>
      </c>
      <c r="E263" s="5">
        <v>36.793700000000001</v>
      </c>
      <c r="F263" s="5">
        <v>47.681229999999999</v>
      </c>
      <c r="G263" s="6">
        <v>1.5E-3</v>
      </c>
      <c r="H263" s="7">
        <v>270</v>
      </c>
      <c r="I263" s="4">
        <v>100</v>
      </c>
      <c r="J263" s="4">
        <v>100</v>
      </c>
      <c r="K263" s="8">
        <v>0.4</v>
      </c>
      <c r="L263" s="4">
        <v>15</v>
      </c>
      <c r="M263" s="9">
        <v>0.6</v>
      </c>
      <c r="N263" s="4">
        <v>5</v>
      </c>
      <c r="O263" s="4">
        <v>10</v>
      </c>
      <c r="AE263">
        <f t="shared" ca="1" si="49"/>
        <v>7559</v>
      </c>
      <c r="AF263">
        <f t="shared" ca="1" si="50"/>
        <v>36.755899999999997</v>
      </c>
      <c r="AI263" s="4" t="s">
        <v>41</v>
      </c>
      <c r="AJ263" t="str">
        <f t="shared" si="52"/>
        <v>Infantry Squad  #862</v>
      </c>
      <c r="AL263" s="16">
        <f t="shared" ca="1" si="51"/>
        <v>329</v>
      </c>
      <c r="AM263" s="16">
        <f t="shared" ca="1" si="47"/>
        <v>47.432899999999997</v>
      </c>
    </row>
    <row r="264" spans="1:39" x14ac:dyDescent="0.25">
      <c r="A264" s="4">
        <v>863</v>
      </c>
      <c r="B264" s="4" t="s">
        <v>307</v>
      </c>
      <c r="C264" s="4" t="s">
        <v>19</v>
      </c>
      <c r="D264" s="4" t="s">
        <v>18</v>
      </c>
      <c r="E264" s="5">
        <v>36.801780000000001</v>
      </c>
      <c r="F264" s="5">
        <v>47.631390000000003</v>
      </c>
      <c r="G264" s="6">
        <v>1.5E-3</v>
      </c>
      <c r="H264" s="7">
        <v>270</v>
      </c>
      <c r="I264" s="4">
        <v>100</v>
      </c>
      <c r="J264" s="4">
        <v>100</v>
      </c>
      <c r="K264" s="8">
        <v>0.4</v>
      </c>
      <c r="L264" s="4">
        <v>15</v>
      </c>
      <c r="M264" s="9">
        <v>0.6</v>
      </c>
      <c r="N264" s="4">
        <v>5</v>
      </c>
      <c r="O264" s="4">
        <v>10</v>
      </c>
      <c r="AE264">
        <f t="shared" ca="1" si="49"/>
        <v>1223</v>
      </c>
      <c r="AF264">
        <f t="shared" ca="1" si="50"/>
        <v>36.122300000000003</v>
      </c>
      <c r="AI264" s="4" t="s">
        <v>41</v>
      </c>
      <c r="AJ264" t="str">
        <f t="shared" si="52"/>
        <v>Infantry Squad  #863</v>
      </c>
      <c r="AL264" s="16">
        <f t="shared" ca="1" si="51"/>
        <v>898</v>
      </c>
      <c r="AM264" s="16">
        <f t="shared" ca="1" si="47"/>
        <v>47.489799999999995</v>
      </c>
    </row>
    <row r="265" spans="1:39" x14ac:dyDescent="0.25">
      <c r="A265" s="4">
        <v>864</v>
      </c>
      <c r="B265" s="4" t="s">
        <v>308</v>
      </c>
      <c r="C265" s="4" t="s">
        <v>19</v>
      </c>
      <c r="D265" s="4" t="s">
        <v>16</v>
      </c>
      <c r="E265" s="5">
        <v>36.8309</v>
      </c>
      <c r="F265" s="5">
        <v>47.635579999999997</v>
      </c>
      <c r="G265" s="6">
        <v>2.2000000000000001E-3</v>
      </c>
      <c r="H265" s="7">
        <v>270</v>
      </c>
      <c r="I265" s="4">
        <v>120</v>
      </c>
      <c r="J265" s="4">
        <v>120</v>
      </c>
      <c r="K265" s="8">
        <v>2.8</v>
      </c>
      <c r="L265" s="4">
        <v>90</v>
      </c>
      <c r="M265" s="9">
        <v>0.8</v>
      </c>
      <c r="N265" s="4">
        <v>90</v>
      </c>
      <c r="O265" s="4">
        <v>3</v>
      </c>
      <c r="AE265">
        <f t="shared" ca="1" si="49"/>
        <v>6258</v>
      </c>
      <c r="AF265">
        <f t="shared" ca="1" si="50"/>
        <v>36.625799999999998</v>
      </c>
      <c r="AI265" s="4" t="s">
        <v>42</v>
      </c>
      <c r="AJ265" t="str">
        <f t="shared" si="52"/>
        <v>M1A2 Abrams  #864</v>
      </c>
      <c r="AL265" s="16">
        <f t="shared" ca="1" si="51"/>
        <v>466</v>
      </c>
      <c r="AM265" s="16">
        <f t="shared" ca="1" si="47"/>
        <v>47.446599999999997</v>
      </c>
    </row>
    <row r="266" spans="1:39" x14ac:dyDescent="0.25">
      <c r="A266" s="4">
        <v>865</v>
      </c>
      <c r="B266" s="4" t="s">
        <v>309</v>
      </c>
      <c r="C266" s="4" t="s">
        <v>19</v>
      </c>
      <c r="D266" s="4" t="s">
        <v>16</v>
      </c>
      <c r="E266" s="5">
        <v>36.804220000000001</v>
      </c>
      <c r="F266" s="5">
        <v>47.641350000000003</v>
      </c>
      <c r="G266" s="6">
        <v>2.2000000000000001E-3</v>
      </c>
      <c r="H266" s="7">
        <v>270</v>
      </c>
      <c r="I266" s="4">
        <v>120</v>
      </c>
      <c r="J266" s="4">
        <v>120</v>
      </c>
      <c r="K266" s="8">
        <v>2.8</v>
      </c>
      <c r="L266" s="4">
        <v>90</v>
      </c>
      <c r="M266" s="9">
        <v>0.8</v>
      </c>
      <c r="N266" s="4">
        <v>90</v>
      </c>
      <c r="O266" s="4">
        <v>3</v>
      </c>
      <c r="AE266">
        <f t="shared" ca="1" si="49"/>
        <v>1491</v>
      </c>
      <c r="AF266">
        <f t="shared" ca="1" si="50"/>
        <v>36.149099999999997</v>
      </c>
      <c r="AI266" s="4" t="s">
        <v>42</v>
      </c>
      <c r="AJ266" t="str">
        <f t="shared" si="52"/>
        <v>M1A2 Abrams  #865</v>
      </c>
      <c r="AL266" s="16">
        <f t="shared" ca="1" si="51"/>
        <v>573</v>
      </c>
      <c r="AM266" s="16">
        <f t="shared" ca="1" si="47"/>
        <v>47.457299999999996</v>
      </c>
    </row>
    <row r="267" spans="1:39" x14ac:dyDescent="0.25">
      <c r="A267" s="4">
        <v>866</v>
      </c>
      <c r="B267" s="4" t="s">
        <v>310</v>
      </c>
      <c r="C267" s="4" t="s">
        <v>19</v>
      </c>
      <c r="D267" s="4" t="s">
        <v>16</v>
      </c>
      <c r="E267" s="5">
        <v>36.797330000000002</v>
      </c>
      <c r="F267" s="5">
        <v>47.64593</v>
      </c>
      <c r="G267" s="6">
        <v>2.2000000000000001E-3</v>
      </c>
      <c r="H267" s="7">
        <v>270</v>
      </c>
      <c r="I267" s="4">
        <v>120</v>
      </c>
      <c r="J267" s="4">
        <v>120</v>
      </c>
      <c r="K267" s="8">
        <v>2.8</v>
      </c>
      <c r="L267" s="4">
        <v>90</v>
      </c>
      <c r="M267" s="9">
        <v>0.8</v>
      </c>
      <c r="N267" s="4">
        <v>90</v>
      </c>
      <c r="O267" s="4">
        <v>3</v>
      </c>
      <c r="AE267">
        <f t="shared" ca="1" si="49"/>
        <v>8759</v>
      </c>
      <c r="AF267">
        <f t="shared" ca="1" si="50"/>
        <v>36.875900000000001</v>
      </c>
      <c r="AI267" s="4" t="s">
        <v>42</v>
      </c>
      <c r="AJ267" t="str">
        <f t="shared" si="52"/>
        <v>M1A2 Abrams  #866</v>
      </c>
      <c r="AL267" s="16">
        <f t="shared" ca="1" si="51"/>
        <v>73</v>
      </c>
      <c r="AM267" s="16">
        <f t="shared" ref="AM267:AM291" ca="1" si="53">47.4+AL267/10000</f>
        <v>47.407299999999999</v>
      </c>
    </row>
    <row r="268" spans="1:39" x14ac:dyDescent="0.25">
      <c r="A268" s="4">
        <v>867</v>
      </c>
      <c r="B268" s="4" t="s">
        <v>311</v>
      </c>
      <c r="C268" s="4" t="s">
        <v>19</v>
      </c>
      <c r="D268" s="4" t="s">
        <v>17</v>
      </c>
      <c r="E268" s="5">
        <v>36.892299999999999</v>
      </c>
      <c r="F268" s="5">
        <v>47.60427</v>
      </c>
      <c r="G268" s="6">
        <v>3.2000000000000002E-3</v>
      </c>
      <c r="H268" s="7">
        <v>270</v>
      </c>
      <c r="I268" s="4">
        <v>65</v>
      </c>
      <c r="J268" s="4">
        <v>65</v>
      </c>
      <c r="K268" s="8">
        <v>1.8</v>
      </c>
      <c r="L268" s="4">
        <v>45</v>
      </c>
      <c r="M268" s="9">
        <v>0.73</v>
      </c>
      <c r="N268" s="4">
        <v>35</v>
      </c>
      <c r="O268" s="4">
        <v>6</v>
      </c>
      <c r="AE268">
        <f t="shared" ca="1" si="49"/>
        <v>2588</v>
      </c>
      <c r="AF268">
        <f t="shared" ca="1" si="50"/>
        <v>36.258800000000001</v>
      </c>
      <c r="AI268" s="4" t="s">
        <v>43</v>
      </c>
      <c r="AJ268" t="str">
        <f t="shared" si="52"/>
        <v>M2 Bradley  #867</v>
      </c>
      <c r="AL268" s="16">
        <f t="shared" ca="1" si="51"/>
        <v>916</v>
      </c>
      <c r="AM268" s="16">
        <f t="shared" ca="1" si="53"/>
        <v>47.491599999999998</v>
      </c>
    </row>
    <row r="269" spans="1:39" x14ac:dyDescent="0.25">
      <c r="A269" s="4">
        <v>868</v>
      </c>
      <c r="B269" s="4" t="s">
        <v>312</v>
      </c>
      <c r="C269" s="4" t="s">
        <v>19</v>
      </c>
      <c r="D269" s="4" t="s">
        <v>17</v>
      </c>
      <c r="E269" s="5">
        <v>36.875500000000002</v>
      </c>
      <c r="F269" s="5">
        <v>47.6</v>
      </c>
      <c r="G269" s="6">
        <v>3.2000000000000002E-3</v>
      </c>
      <c r="H269" s="7">
        <v>270</v>
      </c>
      <c r="I269" s="4">
        <v>65</v>
      </c>
      <c r="J269" s="4">
        <v>65</v>
      </c>
      <c r="K269" s="8">
        <v>1.8</v>
      </c>
      <c r="L269" s="4">
        <v>45</v>
      </c>
      <c r="M269" s="9">
        <v>0.73</v>
      </c>
      <c r="N269" s="4">
        <v>35</v>
      </c>
      <c r="O269" s="4">
        <v>6</v>
      </c>
      <c r="AE269">
        <f t="shared" ca="1" si="49"/>
        <v>4145</v>
      </c>
      <c r="AF269">
        <f t="shared" ca="1" si="50"/>
        <v>36.414499999999997</v>
      </c>
      <c r="AI269" s="4" t="s">
        <v>43</v>
      </c>
      <c r="AJ269" t="str">
        <f t="shared" si="52"/>
        <v>M2 Bradley  #868</v>
      </c>
      <c r="AL269" s="16">
        <f t="shared" ca="1" si="51"/>
        <v>762</v>
      </c>
      <c r="AM269" s="16">
        <f t="shared" ca="1" si="53"/>
        <v>47.476199999999999</v>
      </c>
    </row>
    <row r="270" spans="1:39" x14ac:dyDescent="0.25">
      <c r="A270" s="4">
        <v>869</v>
      </c>
      <c r="B270" s="4" t="s">
        <v>313</v>
      </c>
      <c r="C270" s="4" t="s">
        <v>19</v>
      </c>
      <c r="D270" s="4" t="s">
        <v>17</v>
      </c>
      <c r="E270" s="5">
        <v>36.859650000000002</v>
      </c>
      <c r="F270" s="5">
        <v>47.645949999999999</v>
      </c>
      <c r="G270" s="6">
        <v>3.8E-3</v>
      </c>
      <c r="H270" s="7">
        <v>270</v>
      </c>
      <c r="I270" s="4">
        <v>55</v>
      </c>
      <c r="J270" s="4">
        <v>55</v>
      </c>
      <c r="K270" s="8">
        <v>1.5</v>
      </c>
      <c r="L270" s="4">
        <v>30</v>
      </c>
      <c r="M270" s="9">
        <v>0.68</v>
      </c>
      <c r="N270" s="4">
        <v>25</v>
      </c>
      <c r="O270" s="4">
        <v>7</v>
      </c>
      <c r="AE270">
        <f t="shared" ca="1" si="49"/>
        <v>5695</v>
      </c>
      <c r="AF270">
        <f t="shared" ca="1" si="50"/>
        <v>36.569499999999998</v>
      </c>
      <c r="AI270" s="4" t="s">
        <v>44</v>
      </c>
      <c r="AJ270" t="str">
        <f t="shared" si="52"/>
        <v>Stryker  #869</v>
      </c>
      <c r="AL270" s="16">
        <f t="shared" ca="1" si="51"/>
        <v>985</v>
      </c>
      <c r="AM270" s="16">
        <f t="shared" ca="1" si="53"/>
        <v>47.4985</v>
      </c>
    </row>
    <row r="271" spans="1:39" x14ac:dyDescent="0.25">
      <c r="A271" s="4">
        <v>870</v>
      </c>
      <c r="B271" s="4" t="s">
        <v>314</v>
      </c>
      <c r="C271" s="4" t="s">
        <v>19</v>
      </c>
      <c r="D271" s="4" t="s">
        <v>18</v>
      </c>
      <c r="E271" s="5">
        <v>36.859259999999999</v>
      </c>
      <c r="F271" s="5">
        <v>47.638910000000003</v>
      </c>
      <c r="G271" s="6">
        <v>1.5E-3</v>
      </c>
      <c r="H271" s="7">
        <v>270</v>
      </c>
      <c r="I271" s="4">
        <v>100</v>
      </c>
      <c r="J271" s="4">
        <v>100</v>
      </c>
      <c r="K271" s="8">
        <v>0.4</v>
      </c>
      <c r="L271" s="4">
        <v>15</v>
      </c>
      <c r="M271" s="9">
        <v>0.6</v>
      </c>
      <c r="N271" s="4">
        <v>5</v>
      </c>
      <c r="O271" s="4">
        <v>10</v>
      </c>
      <c r="AE271">
        <f t="shared" ca="1" si="49"/>
        <v>5508</v>
      </c>
      <c r="AF271">
        <f t="shared" ca="1" si="50"/>
        <v>36.550800000000002</v>
      </c>
      <c r="AI271" s="4" t="s">
        <v>41</v>
      </c>
      <c r="AJ271" t="str">
        <f t="shared" si="52"/>
        <v>Infantry Squad  #870</v>
      </c>
      <c r="AL271" s="16">
        <f t="shared" ca="1" si="51"/>
        <v>541</v>
      </c>
      <c r="AM271" s="16">
        <f t="shared" ca="1" si="53"/>
        <v>47.454099999999997</v>
      </c>
    </row>
    <row r="272" spans="1:39" x14ac:dyDescent="0.25">
      <c r="A272" s="4">
        <v>871</v>
      </c>
      <c r="B272" s="4" t="s">
        <v>315</v>
      </c>
      <c r="C272" s="4" t="s">
        <v>19</v>
      </c>
      <c r="D272" s="4" t="s">
        <v>18</v>
      </c>
      <c r="E272" s="5">
        <v>36.787570000000002</v>
      </c>
      <c r="F272" s="5">
        <v>47.66507</v>
      </c>
      <c r="G272" s="6">
        <v>1.5E-3</v>
      </c>
      <c r="H272" s="7">
        <v>270</v>
      </c>
      <c r="I272" s="4">
        <v>100</v>
      </c>
      <c r="J272" s="4">
        <v>100</v>
      </c>
      <c r="K272" s="8">
        <v>0.4</v>
      </c>
      <c r="L272" s="4">
        <v>15</v>
      </c>
      <c r="M272" s="9">
        <v>0.6</v>
      </c>
      <c r="N272" s="4">
        <v>5</v>
      </c>
      <c r="O272" s="4">
        <v>10</v>
      </c>
      <c r="AE272">
        <f t="shared" ca="1" si="49"/>
        <v>9835</v>
      </c>
      <c r="AF272">
        <f t="shared" ca="1" si="50"/>
        <v>36.983499999999999</v>
      </c>
      <c r="AI272" s="4" t="s">
        <v>41</v>
      </c>
      <c r="AJ272" t="str">
        <f t="shared" si="52"/>
        <v>Infantry Squad  #871</v>
      </c>
      <c r="AL272" s="16">
        <f t="shared" ca="1" si="51"/>
        <v>186</v>
      </c>
      <c r="AM272" s="16">
        <f t="shared" ca="1" si="53"/>
        <v>47.418599999999998</v>
      </c>
    </row>
    <row r="273" spans="1:39" x14ac:dyDescent="0.25">
      <c r="A273" s="4">
        <v>872</v>
      </c>
      <c r="B273" s="4" t="s">
        <v>316</v>
      </c>
      <c r="C273" s="4" t="s">
        <v>19</v>
      </c>
      <c r="D273" s="4" t="s">
        <v>18</v>
      </c>
      <c r="E273" s="5">
        <v>36.798169999999999</v>
      </c>
      <c r="F273" s="5">
        <v>47.683439999999997</v>
      </c>
      <c r="G273" s="6">
        <v>1.5E-3</v>
      </c>
      <c r="H273" s="7">
        <v>270</v>
      </c>
      <c r="I273" s="4">
        <v>100</v>
      </c>
      <c r="J273" s="4">
        <v>100</v>
      </c>
      <c r="K273" s="8">
        <v>0.4</v>
      </c>
      <c r="L273" s="4">
        <v>15</v>
      </c>
      <c r="M273" s="9">
        <v>0.6</v>
      </c>
      <c r="N273" s="4">
        <v>5</v>
      </c>
      <c r="O273" s="4">
        <v>10</v>
      </c>
      <c r="AE273">
        <f t="shared" ca="1" si="49"/>
        <v>2000</v>
      </c>
      <c r="AF273">
        <f t="shared" ca="1" si="50"/>
        <v>36.200000000000003</v>
      </c>
      <c r="AI273" s="4" t="s">
        <v>41</v>
      </c>
      <c r="AJ273" t="str">
        <f t="shared" si="52"/>
        <v>Infantry Squad  #872</v>
      </c>
      <c r="AL273" s="16">
        <f t="shared" ca="1" si="51"/>
        <v>846</v>
      </c>
      <c r="AM273" s="16">
        <f t="shared" ca="1" si="53"/>
        <v>47.4846</v>
      </c>
    </row>
    <row r="274" spans="1:39" x14ac:dyDescent="0.25">
      <c r="A274" s="4">
        <v>873</v>
      </c>
      <c r="B274" s="4" t="s">
        <v>317</v>
      </c>
      <c r="C274" s="4" t="s">
        <v>19</v>
      </c>
      <c r="D274" s="4" t="s">
        <v>16</v>
      </c>
      <c r="E274" s="5">
        <v>36.80612</v>
      </c>
      <c r="F274" s="5">
        <v>47.606360000000002</v>
      </c>
      <c r="G274" s="6">
        <v>2.2000000000000001E-3</v>
      </c>
      <c r="H274" s="7">
        <v>270</v>
      </c>
      <c r="I274" s="4">
        <v>120</v>
      </c>
      <c r="J274" s="4">
        <v>120</v>
      </c>
      <c r="K274" s="8">
        <v>2.8</v>
      </c>
      <c r="L274" s="4">
        <v>90</v>
      </c>
      <c r="M274" s="9">
        <v>0.8</v>
      </c>
      <c r="N274" s="4">
        <v>90</v>
      </c>
      <c r="O274" s="4">
        <v>3</v>
      </c>
      <c r="AE274">
        <f t="shared" ca="1" si="49"/>
        <v>8560</v>
      </c>
      <c r="AF274">
        <f t="shared" ca="1" si="50"/>
        <v>36.856000000000002</v>
      </c>
      <c r="AI274" s="4" t="s">
        <v>42</v>
      </c>
      <c r="AJ274" t="str">
        <f t="shared" si="52"/>
        <v>M1A2 Abrams  #873</v>
      </c>
      <c r="AL274" s="16">
        <f t="shared" ca="1" si="51"/>
        <v>306</v>
      </c>
      <c r="AM274" s="16">
        <f t="shared" ca="1" si="53"/>
        <v>47.430599999999998</v>
      </c>
    </row>
    <row r="275" spans="1:39" x14ac:dyDescent="0.25">
      <c r="A275" s="4">
        <v>874</v>
      </c>
      <c r="B275" s="4" t="s">
        <v>318</v>
      </c>
      <c r="C275" s="4" t="s">
        <v>19</v>
      </c>
      <c r="D275" s="4" t="s">
        <v>16</v>
      </c>
      <c r="E275" s="5">
        <v>36.811909999999997</v>
      </c>
      <c r="F275" s="5">
        <v>47.673630000000003</v>
      </c>
      <c r="G275" s="6">
        <v>2.2000000000000001E-3</v>
      </c>
      <c r="H275" s="7">
        <v>270</v>
      </c>
      <c r="I275" s="4">
        <v>120</v>
      </c>
      <c r="J275" s="4">
        <v>120</v>
      </c>
      <c r="K275" s="8">
        <v>2.8</v>
      </c>
      <c r="L275" s="4">
        <v>90</v>
      </c>
      <c r="M275" s="9">
        <v>0.8</v>
      </c>
      <c r="N275" s="4">
        <v>90</v>
      </c>
      <c r="O275" s="4">
        <v>3</v>
      </c>
      <c r="AE275">
        <f t="shared" ca="1" si="49"/>
        <v>1890</v>
      </c>
      <c r="AF275">
        <f t="shared" ca="1" si="50"/>
        <v>36.189</v>
      </c>
      <c r="AI275" s="4" t="s">
        <v>42</v>
      </c>
      <c r="AJ275" t="str">
        <f t="shared" si="52"/>
        <v>M1A2 Abrams  #874</v>
      </c>
      <c r="AL275" s="16">
        <f t="shared" ca="1" si="51"/>
        <v>30</v>
      </c>
      <c r="AM275" s="16">
        <f t="shared" ca="1" si="53"/>
        <v>47.402999999999999</v>
      </c>
    </row>
    <row r="276" spans="1:39" x14ac:dyDescent="0.25">
      <c r="A276" s="4">
        <v>875</v>
      </c>
      <c r="B276" s="4" t="s">
        <v>319</v>
      </c>
      <c r="C276" s="4" t="s">
        <v>19</v>
      </c>
      <c r="D276" s="4" t="s">
        <v>16</v>
      </c>
      <c r="E276" s="5">
        <v>36.803600000000003</v>
      </c>
      <c r="F276" s="5">
        <v>47.623199999999997</v>
      </c>
      <c r="G276" s="6">
        <v>2.2000000000000001E-3</v>
      </c>
      <c r="H276" s="7">
        <v>270</v>
      </c>
      <c r="I276" s="4">
        <v>120</v>
      </c>
      <c r="J276" s="4">
        <v>120</v>
      </c>
      <c r="K276" s="8">
        <v>2.8</v>
      </c>
      <c r="L276" s="4">
        <v>90</v>
      </c>
      <c r="M276" s="9">
        <v>0.8</v>
      </c>
      <c r="N276" s="4">
        <v>90</v>
      </c>
      <c r="O276" s="4">
        <v>3</v>
      </c>
      <c r="AE276">
        <f t="shared" ca="1" si="49"/>
        <v>5138</v>
      </c>
      <c r="AF276">
        <f t="shared" ca="1" si="50"/>
        <v>36.513800000000003</v>
      </c>
      <c r="AI276" s="4" t="s">
        <v>42</v>
      </c>
      <c r="AJ276" t="str">
        <f t="shared" si="52"/>
        <v>M1A2 Abrams  #875</v>
      </c>
      <c r="AL276" s="16">
        <f t="shared" ca="1" si="51"/>
        <v>228</v>
      </c>
      <c r="AM276" s="16">
        <f t="shared" ca="1" si="53"/>
        <v>47.422799999999995</v>
      </c>
    </row>
    <row r="277" spans="1:39" x14ac:dyDescent="0.25">
      <c r="A277" s="4">
        <v>876</v>
      </c>
      <c r="B277" s="4" t="s">
        <v>320</v>
      </c>
      <c r="C277" s="4" t="s">
        <v>19</v>
      </c>
      <c r="D277" s="4" t="s">
        <v>17</v>
      </c>
      <c r="E277" s="5">
        <v>36.81418</v>
      </c>
      <c r="F277" s="5">
        <v>47.669460000000001</v>
      </c>
      <c r="G277" s="6">
        <v>3.2000000000000002E-3</v>
      </c>
      <c r="H277" s="7">
        <v>270</v>
      </c>
      <c r="I277" s="4">
        <v>65</v>
      </c>
      <c r="J277" s="4">
        <v>65</v>
      </c>
      <c r="K277" s="8">
        <v>1.8</v>
      </c>
      <c r="L277" s="4">
        <v>45</v>
      </c>
      <c r="M277" s="9">
        <v>0.73</v>
      </c>
      <c r="N277" s="4">
        <v>35</v>
      </c>
      <c r="O277" s="4">
        <v>6</v>
      </c>
      <c r="AE277">
        <f t="shared" ca="1" si="49"/>
        <v>329</v>
      </c>
      <c r="AF277">
        <f t="shared" ca="1" si="50"/>
        <v>36.032899999999998</v>
      </c>
      <c r="AI277" s="4" t="s">
        <v>43</v>
      </c>
      <c r="AJ277" t="str">
        <f t="shared" si="52"/>
        <v>M2 Bradley  #876</v>
      </c>
      <c r="AL277" s="16">
        <f t="shared" ca="1" si="51"/>
        <v>209</v>
      </c>
      <c r="AM277" s="16">
        <f t="shared" ca="1" si="53"/>
        <v>47.420899999999996</v>
      </c>
    </row>
    <row r="278" spans="1:39" x14ac:dyDescent="0.25">
      <c r="A278" s="4">
        <v>877</v>
      </c>
      <c r="B278" s="4" t="s">
        <v>321</v>
      </c>
      <c r="C278" s="4" t="s">
        <v>19</v>
      </c>
      <c r="D278" s="4" t="s">
        <v>17</v>
      </c>
      <c r="E278" s="5">
        <v>36.803469999999997</v>
      </c>
      <c r="F278" s="5">
        <v>47.690530000000003</v>
      </c>
      <c r="G278" s="6">
        <v>3.2000000000000002E-3</v>
      </c>
      <c r="H278" s="7">
        <v>270</v>
      </c>
      <c r="I278" s="4">
        <v>65</v>
      </c>
      <c r="J278" s="4">
        <v>65</v>
      </c>
      <c r="K278" s="8">
        <v>1.8</v>
      </c>
      <c r="L278" s="4">
        <v>45</v>
      </c>
      <c r="M278" s="9">
        <v>0.73</v>
      </c>
      <c r="N278" s="4">
        <v>35</v>
      </c>
      <c r="O278" s="4">
        <v>6</v>
      </c>
      <c r="AE278">
        <f t="shared" ca="1" si="49"/>
        <v>7394</v>
      </c>
      <c r="AF278">
        <f t="shared" ca="1" si="50"/>
        <v>36.739400000000003</v>
      </c>
      <c r="AI278" s="4" t="s">
        <v>43</v>
      </c>
      <c r="AJ278" t="str">
        <f t="shared" si="52"/>
        <v>M2 Bradley  #877</v>
      </c>
      <c r="AL278" s="16">
        <f t="shared" ca="1" si="51"/>
        <v>318</v>
      </c>
      <c r="AM278" s="16">
        <f t="shared" ca="1" si="53"/>
        <v>47.431799999999996</v>
      </c>
    </row>
    <row r="279" spans="1:39" x14ac:dyDescent="0.25">
      <c r="A279" s="4">
        <v>878</v>
      </c>
      <c r="B279" s="4" t="s">
        <v>322</v>
      </c>
      <c r="C279" s="4" t="s">
        <v>19</v>
      </c>
      <c r="D279" s="4" t="s">
        <v>17</v>
      </c>
      <c r="E279" s="5">
        <v>36.796669999999999</v>
      </c>
      <c r="F279" s="5">
        <v>47.665050000000001</v>
      </c>
      <c r="G279" s="6">
        <v>3.8E-3</v>
      </c>
      <c r="H279" s="7">
        <v>270</v>
      </c>
      <c r="I279" s="4">
        <v>55</v>
      </c>
      <c r="J279" s="4">
        <v>55</v>
      </c>
      <c r="K279" s="8">
        <v>1.5</v>
      </c>
      <c r="L279" s="4">
        <v>30</v>
      </c>
      <c r="M279" s="9">
        <v>0.68</v>
      </c>
      <c r="N279" s="4">
        <v>25</v>
      </c>
      <c r="O279" s="4">
        <v>7</v>
      </c>
      <c r="AE279">
        <f t="shared" ca="1" si="49"/>
        <v>5147</v>
      </c>
      <c r="AF279">
        <f t="shared" ca="1" si="50"/>
        <v>36.514699999999998</v>
      </c>
      <c r="AI279" s="4" t="s">
        <v>44</v>
      </c>
      <c r="AJ279" t="str">
        <f t="shared" si="52"/>
        <v>Stryker  #878</v>
      </c>
      <c r="AL279" s="16">
        <f t="shared" ca="1" si="51"/>
        <v>990</v>
      </c>
      <c r="AM279" s="16">
        <f t="shared" ca="1" si="53"/>
        <v>47.498999999999995</v>
      </c>
    </row>
    <row r="280" spans="1:39" x14ac:dyDescent="0.25">
      <c r="A280" s="4">
        <v>879</v>
      </c>
      <c r="B280" s="4" t="s">
        <v>323</v>
      </c>
      <c r="C280" s="4" t="s">
        <v>19</v>
      </c>
      <c r="D280" s="4" t="s">
        <v>18</v>
      </c>
      <c r="E280" s="5">
        <v>36.827219999999997</v>
      </c>
      <c r="F280" s="5">
        <v>47.685139999999997</v>
      </c>
      <c r="G280" s="6">
        <v>1.5E-3</v>
      </c>
      <c r="H280" s="7">
        <v>270</v>
      </c>
      <c r="I280" s="4">
        <v>100</v>
      </c>
      <c r="J280" s="4">
        <v>100</v>
      </c>
      <c r="K280" s="8">
        <v>0.4</v>
      </c>
      <c r="L280" s="4">
        <v>15</v>
      </c>
      <c r="M280" s="9">
        <v>0.6</v>
      </c>
      <c r="N280" s="4">
        <v>5</v>
      </c>
      <c r="O280" s="4">
        <v>10</v>
      </c>
      <c r="AE280">
        <f t="shared" ca="1" si="49"/>
        <v>7276</v>
      </c>
      <c r="AF280">
        <f t="shared" ca="1" si="50"/>
        <v>36.727600000000002</v>
      </c>
      <c r="AI280" s="4" t="s">
        <v>41</v>
      </c>
      <c r="AJ280" t="str">
        <f t="shared" si="52"/>
        <v>Infantry Squad  #879</v>
      </c>
      <c r="AL280" s="16">
        <f t="shared" ca="1" si="51"/>
        <v>756</v>
      </c>
      <c r="AM280" s="16">
        <f t="shared" ca="1" si="53"/>
        <v>47.4756</v>
      </c>
    </row>
    <row r="281" spans="1:39" x14ac:dyDescent="0.25">
      <c r="A281" s="4">
        <v>880</v>
      </c>
      <c r="B281" s="4" t="s">
        <v>324</v>
      </c>
      <c r="C281" s="4" t="s">
        <v>19</v>
      </c>
      <c r="D281" s="4" t="s">
        <v>18</v>
      </c>
      <c r="E281" s="5">
        <v>36.826500000000003</v>
      </c>
      <c r="F281" s="5">
        <v>47.674250000000001</v>
      </c>
      <c r="G281" s="6">
        <v>1.5E-3</v>
      </c>
      <c r="H281" s="7">
        <v>270</v>
      </c>
      <c r="I281" s="4">
        <v>100</v>
      </c>
      <c r="J281" s="4">
        <v>100</v>
      </c>
      <c r="K281" s="8">
        <v>0.4</v>
      </c>
      <c r="L281" s="4">
        <v>15</v>
      </c>
      <c r="M281" s="9">
        <v>0.6</v>
      </c>
      <c r="N281" s="4">
        <v>5</v>
      </c>
      <c r="O281" s="4">
        <v>10</v>
      </c>
      <c r="AE281">
        <f t="shared" ca="1" si="49"/>
        <v>1957</v>
      </c>
      <c r="AF281">
        <f t="shared" ca="1" si="50"/>
        <v>36.195700000000002</v>
      </c>
      <c r="AI281" s="4" t="s">
        <v>41</v>
      </c>
      <c r="AJ281" t="str">
        <f t="shared" si="52"/>
        <v>Infantry Squad  #880</v>
      </c>
      <c r="AL281" s="16">
        <f t="shared" ca="1" si="51"/>
        <v>359</v>
      </c>
      <c r="AM281" s="16">
        <f t="shared" ca="1" si="53"/>
        <v>47.435899999999997</v>
      </c>
    </row>
    <row r="282" spans="1:39" x14ac:dyDescent="0.25">
      <c r="A282" s="4">
        <v>881</v>
      </c>
      <c r="B282" s="4" t="s">
        <v>325</v>
      </c>
      <c r="C282" s="4" t="s">
        <v>19</v>
      </c>
      <c r="D282" s="4" t="s">
        <v>18</v>
      </c>
      <c r="E282" s="5">
        <v>36.76323</v>
      </c>
      <c r="F282" s="5">
        <v>47.626460000000002</v>
      </c>
      <c r="G282" s="6">
        <v>1.5E-3</v>
      </c>
      <c r="H282" s="7">
        <v>270</v>
      </c>
      <c r="I282" s="4">
        <v>100</v>
      </c>
      <c r="J282" s="4">
        <v>100</v>
      </c>
      <c r="K282" s="8">
        <v>0.4</v>
      </c>
      <c r="L282" s="4">
        <v>15</v>
      </c>
      <c r="M282" s="9">
        <v>0.6</v>
      </c>
      <c r="N282" s="4">
        <v>5</v>
      </c>
      <c r="O282" s="4">
        <v>10</v>
      </c>
      <c r="AE282">
        <f t="shared" ca="1" si="49"/>
        <v>427</v>
      </c>
      <c r="AF282">
        <f t="shared" ca="1" si="50"/>
        <v>36.042700000000004</v>
      </c>
      <c r="AI282" s="4" t="s">
        <v>41</v>
      </c>
      <c r="AJ282" t="str">
        <f t="shared" si="52"/>
        <v>Infantry Squad  #881</v>
      </c>
      <c r="AL282" s="16">
        <f t="shared" ca="1" si="51"/>
        <v>105</v>
      </c>
      <c r="AM282" s="16">
        <f t="shared" ca="1" si="53"/>
        <v>47.410499999999999</v>
      </c>
    </row>
    <row r="283" spans="1:39" x14ac:dyDescent="0.25">
      <c r="A283" s="4">
        <v>882</v>
      </c>
      <c r="B283" s="4" t="s">
        <v>326</v>
      </c>
      <c r="C283" s="4" t="s">
        <v>19</v>
      </c>
      <c r="D283" s="4" t="s">
        <v>16</v>
      </c>
      <c r="E283" s="5">
        <v>36.869059999999998</v>
      </c>
      <c r="F283" s="5">
        <v>47.630159999999997</v>
      </c>
      <c r="G283" s="6">
        <v>2.2000000000000001E-3</v>
      </c>
      <c r="H283" s="7">
        <v>270</v>
      </c>
      <c r="I283" s="4">
        <v>120</v>
      </c>
      <c r="J283" s="4">
        <v>120</v>
      </c>
      <c r="K283" s="8">
        <v>2.8</v>
      </c>
      <c r="L283" s="4">
        <v>90</v>
      </c>
      <c r="M283" s="9">
        <v>0.8</v>
      </c>
      <c r="N283" s="4">
        <v>90</v>
      </c>
      <c r="O283" s="4">
        <v>3</v>
      </c>
      <c r="AE283">
        <f t="shared" ca="1" si="49"/>
        <v>7903</v>
      </c>
      <c r="AF283">
        <f t="shared" ca="1" si="50"/>
        <v>36.790300000000002</v>
      </c>
      <c r="AI283" s="4" t="s">
        <v>42</v>
      </c>
      <c r="AJ283" t="str">
        <f t="shared" si="52"/>
        <v>M1A2 Abrams  #882</v>
      </c>
      <c r="AL283" s="16">
        <f t="shared" ca="1" si="51"/>
        <v>949</v>
      </c>
      <c r="AM283" s="16">
        <f t="shared" ca="1" si="53"/>
        <v>47.494900000000001</v>
      </c>
    </row>
    <row r="284" spans="1:39" x14ac:dyDescent="0.25">
      <c r="A284" s="4">
        <v>883</v>
      </c>
      <c r="B284" s="4" t="s">
        <v>327</v>
      </c>
      <c r="C284" s="4" t="s">
        <v>19</v>
      </c>
      <c r="D284" s="4" t="s">
        <v>16</v>
      </c>
      <c r="E284" s="5">
        <v>36.820500000000003</v>
      </c>
      <c r="F284" s="5">
        <v>47.627249999999997</v>
      </c>
      <c r="G284" s="6">
        <v>2.2000000000000001E-3</v>
      </c>
      <c r="H284" s="7">
        <v>270</v>
      </c>
      <c r="I284" s="4">
        <v>120</v>
      </c>
      <c r="J284" s="4">
        <v>120</v>
      </c>
      <c r="K284" s="8">
        <v>2.8</v>
      </c>
      <c r="L284" s="4">
        <v>90</v>
      </c>
      <c r="M284" s="9">
        <v>0.8</v>
      </c>
      <c r="N284" s="4">
        <v>90</v>
      </c>
      <c r="O284" s="4">
        <v>3</v>
      </c>
      <c r="AE284">
        <f t="shared" ca="1" si="49"/>
        <v>5948</v>
      </c>
      <c r="AF284">
        <f t="shared" ca="1" si="50"/>
        <v>36.594799999999999</v>
      </c>
      <c r="AI284" s="4" t="s">
        <v>42</v>
      </c>
      <c r="AJ284" t="str">
        <f t="shared" si="52"/>
        <v>M1A2 Abrams  #883</v>
      </c>
      <c r="AL284" s="16">
        <f t="shared" ca="1" si="51"/>
        <v>190</v>
      </c>
      <c r="AM284" s="16">
        <f t="shared" ca="1" si="53"/>
        <v>47.418999999999997</v>
      </c>
    </row>
    <row r="285" spans="1:39" x14ac:dyDescent="0.25">
      <c r="A285" s="4">
        <v>884</v>
      </c>
      <c r="B285" s="4" t="s">
        <v>328</v>
      </c>
      <c r="C285" s="4" t="s">
        <v>19</v>
      </c>
      <c r="D285" s="4" t="s">
        <v>16</v>
      </c>
      <c r="E285" s="5">
        <v>36.853529999999999</v>
      </c>
      <c r="F285" s="5">
        <v>47.664830000000002</v>
      </c>
      <c r="G285" s="6">
        <v>2.2000000000000001E-3</v>
      </c>
      <c r="H285" s="7">
        <v>270</v>
      </c>
      <c r="I285" s="4">
        <v>120</v>
      </c>
      <c r="J285" s="4">
        <v>120</v>
      </c>
      <c r="K285" s="8">
        <v>2.8</v>
      </c>
      <c r="L285" s="4">
        <v>90</v>
      </c>
      <c r="M285" s="9">
        <v>0.8</v>
      </c>
      <c r="N285" s="4">
        <v>90</v>
      </c>
      <c r="O285" s="4">
        <v>3</v>
      </c>
      <c r="AE285">
        <f t="shared" ca="1" si="49"/>
        <v>1851</v>
      </c>
      <c r="AF285">
        <f t="shared" ca="1" si="50"/>
        <v>36.185099999999998</v>
      </c>
      <c r="AI285" s="4" t="s">
        <v>42</v>
      </c>
      <c r="AJ285" t="str">
        <f t="shared" si="52"/>
        <v>M1A2 Abrams  #884</v>
      </c>
      <c r="AL285" s="16">
        <f t="shared" ca="1" si="51"/>
        <v>839</v>
      </c>
      <c r="AM285" s="16">
        <f t="shared" ca="1" si="53"/>
        <v>47.483899999999998</v>
      </c>
    </row>
    <row r="286" spans="1:39" x14ac:dyDescent="0.25">
      <c r="A286" s="4">
        <v>885</v>
      </c>
      <c r="B286" s="4" t="s">
        <v>329</v>
      </c>
      <c r="C286" s="4" t="s">
        <v>19</v>
      </c>
      <c r="D286" s="4" t="s">
        <v>17</v>
      </c>
      <c r="E286" s="5">
        <v>36.817079999999997</v>
      </c>
      <c r="F286" s="5">
        <v>47.620350000000002</v>
      </c>
      <c r="G286" s="6">
        <v>3.2000000000000002E-3</v>
      </c>
      <c r="H286" s="7">
        <v>270</v>
      </c>
      <c r="I286" s="4">
        <v>65</v>
      </c>
      <c r="J286" s="4">
        <v>65</v>
      </c>
      <c r="K286" s="8">
        <v>1.8</v>
      </c>
      <c r="L286" s="4">
        <v>45</v>
      </c>
      <c r="M286" s="9">
        <v>0.73</v>
      </c>
      <c r="N286" s="4">
        <v>35</v>
      </c>
      <c r="O286" s="4">
        <v>6</v>
      </c>
      <c r="AE286">
        <f t="shared" ca="1" si="49"/>
        <v>8077</v>
      </c>
      <c r="AF286">
        <f t="shared" ca="1" si="50"/>
        <v>36.807699999999997</v>
      </c>
      <c r="AI286" s="4" t="s">
        <v>43</v>
      </c>
      <c r="AJ286" t="str">
        <f t="shared" si="52"/>
        <v>M2 Bradley  #885</v>
      </c>
      <c r="AL286" s="16">
        <f t="shared" ca="1" si="51"/>
        <v>480</v>
      </c>
      <c r="AM286" s="16">
        <f t="shared" ca="1" si="53"/>
        <v>47.448</v>
      </c>
    </row>
    <row r="287" spans="1:39" x14ac:dyDescent="0.25">
      <c r="A287" s="4">
        <v>886</v>
      </c>
      <c r="B287" s="4" t="s">
        <v>330</v>
      </c>
      <c r="C287" s="4" t="s">
        <v>19</v>
      </c>
      <c r="D287" s="4" t="s">
        <v>17</v>
      </c>
      <c r="E287" s="5">
        <v>36.887999999999998</v>
      </c>
      <c r="F287" s="5">
        <v>47.655999999999999</v>
      </c>
      <c r="G287" s="6">
        <v>3.2000000000000002E-3</v>
      </c>
      <c r="H287" s="7">
        <v>270</v>
      </c>
      <c r="I287" s="4">
        <v>65</v>
      </c>
      <c r="J287" s="4">
        <v>65</v>
      </c>
      <c r="K287" s="8">
        <v>1.8</v>
      </c>
      <c r="L287" s="4">
        <v>45</v>
      </c>
      <c r="M287" s="9">
        <v>0.73</v>
      </c>
      <c r="N287" s="4">
        <v>35</v>
      </c>
      <c r="O287" s="4">
        <v>6</v>
      </c>
      <c r="AE287">
        <f t="shared" ca="1" si="49"/>
        <v>601</v>
      </c>
      <c r="AF287">
        <f t="shared" ca="1" si="50"/>
        <v>36.060099999999998</v>
      </c>
      <c r="AI287" s="4" t="s">
        <v>43</v>
      </c>
      <c r="AJ287" t="str">
        <f t="shared" si="52"/>
        <v>M2 Bradley  #886</v>
      </c>
      <c r="AL287" s="16">
        <f t="shared" ca="1" si="51"/>
        <v>481</v>
      </c>
      <c r="AM287" s="16">
        <f t="shared" ca="1" si="53"/>
        <v>47.448099999999997</v>
      </c>
    </row>
    <row r="288" spans="1:39" x14ac:dyDescent="0.25">
      <c r="A288" s="4">
        <v>887</v>
      </c>
      <c r="B288" s="4" t="s">
        <v>331</v>
      </c>
      <c r="C288" s="4" t="s">
        <v>19</v>
      </c>
      <c r="D288" s="4" t="s">
        <v>17</v>
      </c>
      <c r="E288" s="5">
        <v>36.813209999999998</v>
      </c>
      <c r="F288" s="5">
        <v>47.686320000000002</v>
      </c>
      <c r="G288" s="6">
        <v>3.8E-3</v>
      </c>
      <c r="H288" s="7">
        <v>270</v>
      </c>
      <c r="I288" s="4">
        <v>55</v>
      </c>
      <c r="J288" s="4">
        <v>55</v>
      </c>
      <c r="K288" s="8">
        <v>1.5</v>
      </c>
      <c r="L288" s="4">
        <v>30</v>
      </c>
      <c r="M288" s="9">
        <v>0.68</v>
      </c>
      <c r="N288" s="4">
        <v>25</v>
      </c>
      <c r="O288" s="4">
        <v>7</v>
      </c>
      <c r="AE288">
        <f t="shared" ca="1" si="49"/>
        <v>9405</v>
      </c>
      <c r="AF288">
        <f t="shared" ca="1" si="50"/>
        <v>36.9405</v>
      </c>
      <c r="AI288" s="4" t="s">
        <v>44</v>
      </c>
      <c r="AJ288" t="str">
        <f t="shared" si="52"/>
        <v>Stryker  #887</v>
      </c>
      <c r="AL288" s="16">
        <f t="shared" ca="1" si="51"/>
        <v>626</v>
      </c>
      <c r="AM288" s="16">
        <f t="shared" ca="1" si="53"/>
        <v>47.462600000000002</v>
      </c>
    </row>
    <row r="289" spans="1:39" x14ac:dyDescent="0.25">
      <c r="A289" s="4">
        <v>888</v>
      </c>
      <c r="B289" s="4" t="s">
        <v>332</v>
      </c>
      <c r="C289" s="4" t="s">
        <v>19</v>
      </c>
      <c r="D289" s="4" t="s">
        <v>18</v>
      </c>
      <c r="E289" s="5">
        <v>36.847000000000001</v>
      </c>
      <c r="F289" s="5">
        <v>47.668089999999999</v>
      </c>
      <c r="G289" s="6">
        <v>1.5E-3</v>
      </c>
      <c r="H289" s="7">
        <v>270</v>
      </c>
      <c r="I289" s="4">
        <v>100</v>
      </c>
      <c r="J289" s="4">
        <v>100</v>
      </c>
      <c r="K289" s="8">
        <v>0.4</v>
      </c>
      <c r="L289" s="4">
        <v>15</v>
      </c>
      <c r="M289" s="9">
        <v>0.6</v>
      </c>
      <c r="N289" s="4">
        <v>5</v>
      </c>
      <c r="O289" s="4">
        <v>10</v>
      </c>
      <c r="AE289">
        <f t="shared" ca="1" si="49"/>
        <v>2629</v>
      </c>
      <c r="AF289">
        <f t="shared" ca="1" si="50"/>
        <v>36.262900000000002</v>
      </c>
      <c r="AI289" s="4" t="s">
        <v>41</v>
      </c>
      <c r="AJ289" t="str">
        <f t="shared" si="52"/>
        <v>Infantry Squad  #888</v>
      </c>
      <c r="AL289" s="16">
        <f t="shared" ca="1" si="51"/>
        <v>74</v>
      </c>
      <c r="AM289" s="16">
        <f t="shared" ca="1" si="53"/>
        <v>47.407399999999996</v>
      </c>
    </row>
    <row r="290" spans="1:39" x14ac:dyDescent="0.25">
      <c r="A290" s="4">
        <v>889</v>
      </c>
      <c r="B290" s="4" t="s">
        <v>333</v>
      </c>
      <c r="C290" s="4" t="s">
        <v>19</v>
      </c>
      <c r="D290" s="4" t="s">
        <v>18</v>
      </c>
      <c r="E290" s="5">
        <v>36.785719999999998</v>
      </c>
      <c r="F290" s="5">
        <v>47.615209999999998</v>
      </c>
      <c r="G290" s="6">
        <v>1.5E-3</v>
      </c>
      <c r="H290" s="7">
        <v>270</v>
      </c>
      <c r="I290" s="4">
        <v>100</v>
      </c>
      <c r="J290" s="4">
        <v>100</v>
      </c>
      <c r="K290" s="8">
        <v>0.4</v>
      </c>
      <c r="L290" s="4">
        <v>15</v>
      </c>
      <c r="M290" s="9">
        <v>0.6</v>
      </c>
      <c r="N290" s="4">
        <v>5</v>
      </c>
      <c r="O290" s="4">
        <v>10</v>
      </c>
      <c r="AE290">
        <f t="shared" ca="1" si="49"/>
        <v>821</v>
      </c>
      <c r="AF290">
        <f t="shared" ca="1" si="50"/>
        <v>36.082099999999997</v>
      </c>
      <c r="AI290" s="4" t="s">
        <v>41</v>
      </c>
      <c r="AJ290" t="str">
        <f t="shared" si="52"/>
        <v>Infantry Squad  #889</v>
      </c>
      <c r="AL290" s="16">
        <f t="shared" ca="1" si="51"/>
        <v>368</v>
      </c>
      <c r="AM290" s="16">
        <f t="shared" ca="1" si="53"/>
        <v>47.436799999999998</v>
      </c>
    </row>
    <row r="291" spans="1:39" x14ac:dyDescent="0.25">
      <c r="A291" s="4">
        <v>890</v>
      </c>
      <c r="B291" s="4" t="s">
        <v>334</v>
      </c>
      <c r="C291" s="4" t="s">
        <v>19</v>
      </c>
      <c r="D291" s="4" t="s">
        <v>18</v>
      </c>
      <c r="E291" s="5">
        <v>36.83746</v>
      </c>
      <c r="F291" s="5">
        <v>47.616329999999998</v>
      </c>
      <c r="G291" s="6">
        <v>1.5E-3</v>
      </c>
      <c r="H291" s="7">
        <v>270</v>
      </c>
      <c r="I291" s="4">
        <v>100</v>
      </c>
      <c r="J291" s="4">
        <v>100</v>
      </c>
      <c r="K291" s="8">
        <v>0.4</v>
      </c>
      <c r="L291" s="4">
        <v>15</v>
      </c>
      <c r="M291" s="9">
        <v>0.6</v>
      </c>
      <c r="N291" s="4">
        <v>5</v>
      </c>
      <c r="O291" s="4">
        <v>10</v>
      </c>
      <c r="AE291">
        <f t="shared" ca="1" si="49"/>
        <v>1822</v>
      </c>
      <c r="AF291">
        <f t="shared" ca="1" si="50"/>
        <v>36.182200000000002</v>
      </c>
      <c r="AI291" s="4" t="s">
        <v>41</v>
      </c>
      <c r="AJ291" t="str">
        <f t="shared" ref="AJ291" si="54">CONCATENATE(AI291," #",A291)</f>
        <v>Infantry Squad  #890</v>
      </c>
      <c r="AL291" s="16">
        <f t="shared" ca="1" si="51"/>
        <v>233</v>
      </c>
      <c r="AM291" s="16">
        <f t="shared" ca="1" si="53"/>
        <v>47.423299999999998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18" customWidth="1"/>
    <col min="2" max="2" width="55" customWidth="1"/>
  </cols>
  <sheetData>
    <row r="1" spans="1:2" ht="18.75" x14ac:dyDescent="0.3">
      <c r="A1" s="2"/>
    </row>
    <row r="2" spans="1:2" x14ac:dyDescent="0.25">
      <c r="A2" s="3" t="s">
        <v>20</v>
      </c>
      <c r="B2" s="3" t="s">
        <v>21</v>
      </c>
    </row>
    <row r="3" spans="1:2" x14ac:dyDescent="0.25">
      <c r="A3" t="s">
        <v>0</v>
      </c>
      <c r="B3" t="s">
        <v>22</v>
      </c>
    </row>
    <row r="4" spans="1:2" x14ac:dyDescent="0.25">
      <c r="A4" t="s">
        <v>1</v>
      </c>
      <c r="B4" t="s">
        <v>23</v>
      </c>
    </row>
    <row r="5" spans="1:2" x14ac:dyDescent="0.25">
      <c r="A5" t="s">
        <v>2</v>
      </c>
      <c r="B5" t="s">
        <v>24</v>
      </c>
    </row>
    <row r="6" spans="1:2" x14ac:dyDescent="0.25">
      <c r="A6" t="s">
        <v>3</v>
      </c>
      <c r="B6" t="s">
        <v>25</v>
      </c>
    </row>
    <row r="7" spans="1:2" x14ac:dyDescent="0.25">
      <c r="A7" t="s">
        <v>4</v>
      </c>
      <c r="B7" t="s">
        <v>26</v>
      </c>
    </row>
    <row r="8" spans="1:2" x14ac:dyDescent="0.25">
      <c r="A8" t="s">
        <v>5</v>
      </c>
      <c r="B8" t="s">
        <v>27</v>
      </c>
    </row>
    <row r="9" spans="1:2" x14ac:dyDescent="0.25">
      <c r="A9" t="s">
        <v>6</v>
      </c>
      <c r="B9" t="s">
        <v>28</v>
      </c>
    </row>
    <row r="10" spans="1:2" x14ac:dyDescent="0.25">
      <c r="A10" t="s">
        <v>7</v>
      </c>
      <c r="B10" t="s">
        <v>29</v>
      </c>
    </row>
    <row r="11" spans="1:2" x14ac:dyDescent="0.25">
      <c r="A11" t="s">
        <v>8</v>
      </c>
      <c r="B11" t="s">
        <v>30</v>
      </c>
    </row>
    <row r="12" spans="1:2" x14ac:dyDescent="0.25">
      <c r="A12" t="s">
        <v>9</v>
      </c>
      <c r="B12" t="s">
        <v>31</v>
      </c>
    </row>
    <row r="13" spans="1:2" x14ac:dyDescent="0.25">
      <c r="A13" t="s">
        <v>10</v>
      </c>
      <c r="B13" t="s">
        <v>32</v>
      </c>
    </row>
    <row r="14" spans="1:2" x14ac:dyDescent="0.25">
      <c r="A14" t="s">
        <v>11</v>
      </c>
      <c r="B14" t="s">
        <v>33</v>
      </c>
    </row>
    <row r="15" spans="1:2" x14ac:dyDescent="0.25">
      <c r="A15" t="s">
        <v>12</v>
      </c>
      <c r="B15" t="s">
        <v>34</v>
      </c>
    </row>
    <row r="16" spans="1:2" x14ac:dyDescent="0.25">
      <c r="A16" t="s">
        <v>13</v>
      </c>
      <c r="B16" t="s">
        <v>35</v>
      </c>
    </row>
    <row r="17" spans="1:2" x14ac:dyDescent="0.25">
      <c r="A17" t="s">
        <v>14</v>
      </c>
      <c r="B1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MAINHOME</cp:lastModifiedBy>
  <dcterms:created xsi:type="dcterms:W3CDTF">2025-10-26T07:20:36Z</dcterms:created>
  <dcterms:modified xsi:type="dcterms:W3CDTF">2025-10-26T16:15:41Z</dcterms:modified>
</cp:coreProperties>
</file>