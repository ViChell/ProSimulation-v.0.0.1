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6" yWindow="600" windowWidth="23256" windowHeight="13176"/>
  </bookViews>
  <sheets>
    <sheet name="Objects" sheetId="1" r:id="rId1"/>
    <sheet name="Notes" sheetId="2" r:id="rId2"/>
  </sheets>
  <calcPr calcId="144525"/>
</workbook>
</file>

<file path=xl/calcChain.xml><?xml version="1.0" encoding="utf-8"?>
<calcChain xmlns="http://schemas.openxmlformats.org/spreadsheetml/2006/main">
  <c r="U12" i="1" l="1"/>
  <c r="V12" i="1"/>
  <c r="W12" i="1"/>
  <c r="Z12" i="1"/>
  <c r="AA12" i="1"/>
  <c r="AB12" i="1"/>
  <c r="U13" i="1"/>
  <c r="V13" i="1"/>
  <c r="W13" i="1"/>
  <c r="Z13" i="1"/>
  <c r="AA13" i="1"/>
  <c r="AB13" i="1"/>
  <c r="U14" i="1"/>
  <c r="V14" i="1"/>
  <c r="W14" i="1"/>
  <c r="Z14" i="1"/>
  <c r="AA14" i="1"/>
  <c r="AB14" i="1"/>
  <c r="U15" i="1"/>
  <c r="V15" i="1"/>
  <c r="W15" i="1"/>
  <c r="Z15" i="1"/>
  <c r="AA15" i="1"/>
  <c r="AB15" i="1"/>
  <c r="U16" i="1"/>
  <c r="V16" i="1"/>
  <c r="W16" i="1"/>
  <c r="Z16" i="1"/>
  <c r="AA16" i="1"/>
  <c r="AB16" i="1"/>
  <c r="Z2" i="1"/>
  <c r="AB11" i="1"/>
  <c r="AA11" i="1"/>
  <c r="Z11" i="1"/>
  <c r="AB10" i="1"/>
  <c r="AA10" i="1"/>
  <c r="Z10" i="1"/>
  <c r="AB9" i="1"/>
  <c r="AA9" i="1"/>
  <c r="Z9" i="1"/>
  <c r="AB8" i="1"/>
  <c r="AA8" i="1"/>
  <c r="Z8" i="1"/>
  <c r="AB7" i="1"/>
  <c r="AA7" i="1"/>
  <c r="Z7" i="1"/>
  <c r="AB6" i="1"/>
  <c r="AA6" i="1"/>
  <c r="Z6" i="1"/>
  <c r="AB5" i="1"/>
  <c r="AA5" i="1"/>
  <c r="Z5" i="1"/>
  <c r="AB4" i="1"/>
  <c r="AA4" i="1"/>
  <c r="Z4" i="1"/>
  <c r="AB3" i="1"/>
  <c r="AA3" i="1"/>
  <c r="Z3" i="1"/>
  <c r="AB2" i="1"/>
  <c r="AA2" i="1"/>
  <c r="U3" i="1"/>
  <c r="V3" i="1"/>
  <c r="W3" i="1"/>
  <c r="U4" i="1"/>
  <c r="V4" i="1"/>
  <c r="W4" i="1"/>
  <c r="U5" i="1"/>
  <c r="V5" i="1"/>
  <c r="W5" i="1"/>
  <c r="U6" i="1"/>
  <c r="V6" i="1"/>
  <c r="W6" i="1"/>
  <c r="U7" i="1"/>
  <c r="V7" i="1"/>
  <c r="W7" i="1"/>
  <c r="U8" i="1"/>
  <c r="V8" i="1"/>
  <c r="W8" i="1"/>
  <c r="U9" i="1"/>
  <c r="V9" i="1"/>
  <c r="W9" i="1"/>
  <c r="U10" i="1"/>
  <c r="V10" i="1"/>
  <c r="W10" i="1"/>
  <c r="U11" i="1"/>
  <c r="V11" i="1"/>
  <c r="W11" i="1"/>
  <c r="T8" i="1"/>
  <c r="T7" i="1"/>
  <c r="V2" i="1"/>
  <c r="W2" i="1"/>
  <c r="U2" i="1"/>
  <c r="Y12" i="1" l="1"/>
  <c r="AC14" i="1"/>
  <c r="AC16" i="1"/>
  <c r="AC13" i="1"/>
  <c r="AD15" i="1"/>
  <c r="AC12" i="1"/>
  <c r="AC15" i="1"/>
  <c r="AC10" i="1"/>
  <c r="AC4" i="1"/>
  <c r="AC5" i="1"/>
  <c r="AC11" i="1"/>
  <c r="AD16" i="1"/>
  <c r="AD12" i="1"/>
  <c r="AD14" i="1"/>
  <c r="AD13" i="1"/>
  <c r="AC9" i="1"/>
  <c r="AC6" i="1"/>
  <c r="AD10" i="1"/>
  <c r="AD11" i="1"/>
  <c r="AC7" i="1"/>
  <c r="AD8" i="1"/>
  <c r="AD6" i="1"/>
  <c r="AC3" i="1"/>
  <c r="AD9" i="1"/>
  <c r="AD7" i="1"/>
  <c r="AC8" i="1"/>
  <c r="AD5" i="1"/>
  <c r="AD4" i="1"/>
  <c r="AD3" i="1"/>
  <c r="AD2" i="1"/>
  <c r="AC2" i="1"/>
  <c r="T9" i="1"/>
  <c r="Y11" i="1" s="1"/>
  <c r="AL13" i="1"/>
  <c r="AM13" i="1" s="1"/>
  <c r="AL14" i="1"/>
  <c r="AM14" i="1" s="1"/>
  <c r="AL15" i="1"/>
  <c r="AM15" i="1" s="1"/>
  <c r="AL16" i="1"/>
  <c r="AM16" i="1" s="1"/>
  <c r="AL3" i="1"/>
  <c r="AM3" i="1" s="1"/>
  <c r="AL4" i="1"/>
  <c r="AM4" i="1" s="1"/>
  <c r="AL5" i="1"/>
  <c r="AM5" i="1" s="1"/>
  <c r="AL6" i="1"/>
  <c r="AM6" i="1" s="1"/>
  <c r="AL7" i="1"/>
  <c r="AM7" i="1" s="1"/>
  <c r="AL8" i="1"/>
  <c r="AM8" i="1" s="1"/>
  <c r="AL9" i="1"/>
  <c r="AM9" i="1" s="1"/>
  <c r="AL10" i="1"/>
  <c r="AM10" i="1" s="1"/>
  <c r="AL11" i="1"/>
  <c r="AM11" i="1" s="1"/>
  <c r="X12" i="1" l="1"/>
  <c r="X13" i="1"/>
  <c r="X16" i="1"/>
  <c r="X14" i="1"/>
  <c r="Y16" i="1"/>
  <c r="Y14" i="1"/>
  <c r="Y13" i="1"/>
  <c r="Y15" i="1"/>
  <c r="X15" i="1"/>
  <c r="X10" i="1"/>
  <c r="X4" i="1"/>
  <c r="Y3" i="1"/>
  <c r="Y4" i="1"/>
  <c r="X5" i="1"/>
  <c r="Y2" i="1"/>
  <c r="X7" i="1"/>
  <c r="X8" i="1"/>
  <c r="Y7" i="1"/>
  <c r="X6" i="1"/>
  <c r="Y8" i="1"/>
  <c r="Y10" i="1"/>
  <c r="X11" i="1"/>
  <c r="Y6" i="1"/>
  <c r="X9" i="1"/>
  <c r="Y9" i="1"/>
  <c r="X3" i="1"/>
  <c r="Y5" i="1"/>
  <c r="X2" i="1"/>
  <c r="AL12" i="1"/>
  <c r="AM12" i="1" s="1"/>
  <c r="AL2" i="1"/>
  <c r="AM2" i="1" s="1"/>
  <c r="AJ3" i="1" l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2" i="1"/>
  <c r="AE3" i="1"/>
  <c r="AF3" i="1" s="1"/>
  <c r="AE4" i="1"/>
  <c r="AF4" i="1" s="1"/>
  <c r="AE5" i="1"/>
  <c r="AF5" i="1" s="1"/>
  <c r="AE6" i="1"/>
  <c r="AF6" i="1" s="1"/>
  <c r="AE7" i="1"/>
  <c r="AF7" i="1" s="1"/>
  <c r="AE8" i="1"/>
  <c r="AF8" i="1" s="1"/>
  <c r="AE9" i="1"/>
  <c r="AF9" i="1" s="1"/>
  <c r="AE10" i="1"/>
  <c r="AF10" i="1" s="1"/>
  <c r="AE11" i="1"/>
  <c r="AF11" i="1" s="1"/>
  <c r="AE12" i="1"/>
  <c r="AF12" i="1" s="1"/>
  <c r="AE13" i="1"/>
  <c r="AF13" i="1" s="1"/>
  <c r="AE14" i="1"/>
  <c r="AF14" i="1" s="1"/>
  <c r="AE15" i="1"/>
  <c r="AF15" i="1" s="1"/>
  <c r="AE16" i="1"/>
  <c r="AF16" i="1" s="1"/>
  <c r="AE2" i="1"/>
  <c r="AF2" i="1" s="1"/>
</calcChain>
</file>

<file path=xl/sharedStrings.xml><?xml version="1.0" encoding="utf-8"?>
<sst xmlns="http://schemas.openxmlformats.org/spreadsheetml/2006/main" count="116" uniqueCount="61">
  <si>
    <t>ID</t>
  </si>
  <si>
    <t>Name</t>
  </si>
  <si>
    <t>Side</t>
  </si>
  <si>
    <t>Type</t>
  </si>
  <si>
    <t>X_Coord</t>
  </si>
  <si>
    <t>Y_Coord</t>
  </si>
  <si>
    <t>Speed</t>
  </si>
  <si>
    <t>Direction</t>
  </si>
  <si>
    <t>HP</t>
  </si>
  <si>
    <t>Max_HP</t>
  </si>
  <si>
    <t>Range</t>
  </si>
  <si>
    <t>Attack_Power</t>
  </si>
  <si>
    <t>Accuracy</t>
  </si>
  <si>
    <t>Armor</t>
  </si>
  <si>
    <t>Personnel_Count</t>
  </si>
  <si>
    <t>A</t>
  </si>
  <si>
    <t>tank</t>
  </si>
  <si>
    <t>bmp</t>
  </si>
  <si>
    <t>B</t>
  </si>
  <si>
    <t>Field</t>
  </si>
  <si>
    <t>Description</t>
  </si>
  <si>
    <t>Unique identifier for each unit</t>
  </si>
  <si>
    <t>Display name of the unit</t>
  </si>
  <si>
    <t>A or B - opposing sides in conflict</t>
  </si>
  <si>
    <t>Unit type: tank, bmp, infantry, mortar, artillery, uav</t>
  </si>
  <si>
    <t>Longitude coordinate (decimal degrees)</t>
  </si>
  <si>
    <t>Latitude coordinate (decimal degrees)</t>
  </si>
  <si>
    <t>Movement speed (degrees per step)</t>
  </si>
  <si>
    <t>Initial direction in degrees (0-360)</t>
  </si>
  <si>
    <t>Current health points</t>
  </si>
  <si>
    <t>Maximum health points</t>
  </si>
  <si>
    <t>Attack range in km</t>
  </si>
  <si>
    <t>Base damage output</t>
  </si>
  <si>
    <t>Hit probability (0.0-1.0)</t>
  </si>
  <si>
    <t>Damage reduction</t>
  </si>
  <si>
    <t>Number of personnel (0 for unmanned)</t>
  </si>
  <si>
    <t xml:space="preserve">T-72B3 Tank </t>
  </si>
  <si>
    <t xml:space="preserve">T-80BVM Tank </t>
  </si>
  <si>
    <t xml:space="preserve">BMP-2 </t>
  </si>
  <si>
    <t xml:space="preserve">BTR-80 </t>
  </si>
  <si>
    <t xml:space="preserve">M1A2 Abrams </t>
  </si>
  <si>
    <t xml:space="preserve">M2 Bradley </t>
  </si>
  <si>
    <t>T-72B3 Tank  #1</t>
  </si>
  <si>
    <t>T-72B3 Tank  #2</t>
  </si>
  <si>
    <t>T-80BVM Tank  #3</t>
  </si>
  <si>
    <t>T-72B3 Tank  #4</t>
  </si>
  <si>
    <t>T-80BVM Tank  #5</t>
  </si>
  <si>
    <t>BMP-2  #6</t>
  </si>
  <si>
    <t>BMP-2  #7</t>
  </si>
  <si>
    <t>BTR-80  #8</t>
  </si>
  <si>
    <t>BMP-2  #9</t>
  </si>
  <si>
    <t>BMP-2  #10</t>
  </si>
  <si>
    <t>M1A2 Abrams  #801</t>
  </si>
  <si>
    <t>M1A2 Abrams  #802</t>
  </si>
  <si>
    <t>M1A2 Abrams  #803</t>
  </si>
  <si>
    <t>M2 Bradley  #804</t>
  </si>
  <si>
    <t>M2 Bradley  #805</t>
  </si>
  <si>
    <t>C</t>
  </si>
  <si>
    <t>D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</si>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</sst>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0"/>
    <numFmt numFmtId="165" formatCode="0.0000"/>
    <numFmt numFmtId="166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9D9D9"/>
        <bgColor rgb="FFD9D9D9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3" borderId="0" xfId="0" applyFont="1" applyFill="1"/>
    <xf numFmtId="0" fontId="0" fillId="4" borderId="0" xfId="0" applyFill="1"/>
    <xf numFmtId="164" fontId="0" fillId="4" borderId="0" xfId="0" applyNumberFormat="1" applyFill="1"/>
    <xf numFmtId="165" fontId="0" fillId="4" borderId="0" xfId="0" applyNumberFormat="1" applyFill="1"/>
    <xf numFmtId="1" fontId="0" fillId="4" borderId="0" xfId="0" applyNumberFormat="1" applyFill="1"/>
    <xf numFmtId="166" fontId="0" fillId="4" borderId="0" xfId="0" applyNumberFormat="1" applyFill="1"/>
    <xf numFmtId="2" fontId="0" fillId="4" borderId="0" xfId="0" applyNumberFormat="1" applyFill="1"/>
    <xf numFmtId="0" fontId="0" fillId="5" borderId="0" xfId="0" applyFill="1"/>
    <xf numFmtId="164" fontId="0" fillId="5" borderId="0" xfId="0" applyNumberFormat="1" applyFill="1"/>
    <xf numFmtId="165" fontId="0" fillId="5" borderId="0" xfId="0" applyNumberFormat="1" applyFill="1"/>
    <xf numFmtId="1" fontId="0" fillId="5" borderId="0" xfId="0" applyNumberFormat="1" applyFill="1"/>
    <xf numFmtId="166" fontId="0" fillId="5" borderId="0" xfId="0" applyNumberFormat="1" applyFill="1"/>
    <xf numFmtId="2" fontId="0" fillId="5" borderId="0" xfId="0" applyNumberFormat="1" applyFill="1"/>
    <xf numFmtId="0" fontId="0" fillId="6" borderId="0" xfId="0" applyFill="1"/>
    <xf numFmtId="0" fontId="0" fillId="0" borderId="0" xfId="0" applyAlignment="1">
      <alignment wrapText="1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8" borderId="0" xfId="0" applyFon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6"/>
  <sheetViews>
    <sheetView tabSelected="1" zoomScale="70" zoomScaleNormal="70" workbookViewId="0">
      <selection activeCell="E23" sqref="E23"/>
    </sheetView>
  </sheetViews>
  <sheetFormatPr defaultRowHeight="14.4" x14ac:dyDescent="0.3"/>
  <cols>
    <col min="1" max="1" width="8" customWidth="1"/>
    <col min="2" max="2" width="25" customWidth="1"/>
    <col min="3" max="3" width="10" customWidth="1"/>
    <col min="4" max="4" width="15" customWidth="1"/>
    <col min="5" max="6" width="12" customWidth="1"/>
    <col min="7" max="7" width="10" customWidth="1"/>
    <col min="8" max="8" width="12" customWidth="1"/>
    <col min="9" max="9" width="10" customWidth="1"/>
    <col min="10" max="10" width="12" customWidth="1"/>
    <col min="11" max="11" width="10" customWidth="1"/>
    <col min="12" max="12" width="15" customWidth="1"/>
    <col min="13" max="13" width="12" customWidth="1"/>
    <col min="14" max="14" width="10" customWidth="1"/>
    <col min="15" max="15" width="18" customWidth="1"/>
    <col min="19" max="19" width="10.109375" customWidth="1"/>
    <col min="21" max="30" width="12.5546875" customWidth="1"/>
    <col min="35" max="35" width="25" customWidth="1"/>
    <col min="36" max="36" width="25.44140625" customWidth="1"/>
  </cols>
  <sheetData>
    <row r="1" spans="1: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R1" s="20"/>
      <c r="S1" s="20"/>
      <c r="T1" s="20"/>
      <c r="X1" s="18"/>
      <c r="Y1" s="18"/>
      <c r="AC1" s="19"/>
      <c r="AD1" s="19"/>
      <c r="AI1" s="1" t="s">
        <v>1</v>
      </c>
    </row>
    <row r="2" spans="1:39" x14ac:dyDescent="0.3">
      <c r="A2" s="10">
        <v>1</v>
      </c>
      <c r="B2" s="10" t="s">
        <v>42</v>
      </c>
      <c r="C2" s="10" t="s">
        <v>15</v>
      </c>
      <c r="D2" s="10" t="s">
        <v>16</v>
      </c>
      <c r="E2" s="11">
        <v>36.622</v>
      </c>
      <c r="F2" s="11">
        <v>47.551519999999996</v>
      </c>
      <c r="G2" s="12">
        <v>2E-3</v>
      </c>
      <c r="H2" s="13">
        <v>90</v>
      </c>
      <c r="I2" s="10">
        <v>100</v>
      </c>
      <c r="J2" s="10">
        <v>100</v>
      </c>
      <c r="K2" s="14">
        <v>2.5</v>
      </c>
      <c r="L2" s="10">
        <v>80</v>
      </c>
      <c r="M2" s="15">
        <v>0.75</v>
      </c>
      <c r="N2" s="10">
        <v>80</v>
      </c>
      <c r="O2" s="10">
        <v>3</v>
      </c>
      <c r="R2" s="20"/>
      <c r="S2" s="20" t="s">
        <v>59</v>
      </c>
      <c r="T2" s="20" t="s">
        <v>60</v>
      </c>
      <c r="U2" s="20">
        <f ca="1">RANDBETWEEN(0,100)/100</f>
        <v>0.83</v>
      </c>
      <c r="V2" s="20">
        <f ca="1">RANDBETWEEN(0,100)/100</f>
        <v>0.46</v>
      </c>
      <c r="W2" s="20">
        <f ca="1">RANDBETWEEN(0,100)/100</f>
        <v>0.27</v>
      </c>
      <c r="X2">
        <f ca="1">ROUND(IF(U2 &lt; $T$9,
 (1-SQRT(V2))*$T$3 + SQRT(V2)*(1-W2)*$T$4 + SQRT(V2)*W2*$T$5,
 (1-SQRT(V2))*$T$3 + SQRT(V2)*(1-W2)*$T$5 + SQRT(V2)*W2*$T$6
)/100,5)</f>
        <v>36.686140000000002</v>
      </c>
      <c r="Y2">
        <f ca="1">ROUND(IF(U2&lt;$T$9,(1-SQRT(V2))*$S$3+SQRT(V2)*(1-W2)*$S$4+SQRT(V2)*W2*$S$5,(1-SQRT(V2))*$S$3+SQRT(V2)*(1-W2)*$S$5+SQRT(V2)*W2*$S$6)/100,5)</f>
        <v>47.60098</v>
      </c>
      <c r="Z2" s="19">
        <f ca="1">RANDBETWEEN(0,100)/100</f>
        <v>0.45</v>
      </c>
      <c r="AA2" s="19">
        <f ca="1">RANDBETWEEN(0,100)/100</f>
        <v>0.47</v>
      </c>
      <c r="AB2" s="19">
        <f ca="1">RANDBETWEEN(0,100)/100</f>
        <v>0.86</v>
      </c>
      <c r="AC2" t="e">
        <f ca="1">ROUND(IF(Z2 &lt;#REF!,
 (1-SQRT(AA2))*#REF! + SQRT(AA2)*(1-AB2)*#REF! + SQRT(AA2)*AB2*#REF!,
 (1-SQRT(AA2))*#REF! + SQRT(AA2)*(1-AB2)*#REF! + SQRT(AA2)*AB2*#REF!
)/100,5)</f>
        <v>#REF!</v>
      </c>
      <c r="AD2" t="e">
        <f ca="1">ROUND(IF(Z2&lt;#REF!,
(1-SQRT(AA2))*#REF!+SQRT(AA2)*(1-AB2)*#REF!+SQRT(AA2)*AB2*#REF!,
(1-SQRT(AA2))*#REF!+SQRT(AA2)*(1-AB2)*#REF!+SQRT(AA2)*AB2*#REF!)/100,5)</f>
        <v>#REF!</v>
      </c>
      <c r="AE2">
        <f ca="1">RANDBETWEEN(0,10000)</f>
        <v>3403</v>
      </c>
      <c r="AF2">
        <f ca="1">36+AE2/10000</f>
        <v>36.340299999999999</v>
      </c>
      <c r="AI2" s="10" t="s">
        <v>36</v>
      </c>
      <c r="AJ2" t="str">
        <f>CONCATENATE(AI2," #",A2)</f>
        <v>T-72B3 Tank  #1</v>
      </c>
      <c r="AL2" s="10">
        <f ca="1">RANDBETWEEN(0,1000)</f>
        <v>784</v>
      </c>
      <c r="AM2" s="10">
        <f ca="1">47.7+AL2/10000</f>
        <v>47.778400000000005</v>
      </c>
    </row>
    <row r="3" spans="1:39" x14ac:dyDescent="0.3">
      <c r="A3" s="10">
        <v>2</v>
      </c>
      <c r="B3" s="10" t="s">
        <v>43</v>
      </c>
      <c r="C3" s="10" t="s">
        <v>15</v>
      </c>
      <c r="D3" s="10" t="s">
        <v>16</v>
      </c>
      <c r="E3" s="11">
        <v>36.595309999999998</v>
      </c>
      <c r="F3" s="11">
        <v>47.631990000000002</v>
      </c>
      <c r="G3" s="12">
        <v>2E-3</v>
      </c>
      <c r="H3" s="13">
        <v>90</v>
      </c>
      <c r="I3" s="10">
        <v>100</v>
      </c>
      <c r="J3" s="10">
        <v>100</v>
      </c>
      <c r="K3" s="14">
        <v>2.5</v>
      </c>
      <c r="L3" s="10">
        <v>80</v>
      </c>
      <c r="M3" s="15">
        <v>0.75</v>
      </c>
      <c r="N3" s="10">
        <v>80</v>
      </c>
      <c r="O3" s="10">
        <v>3</v>
      </c>
      <c r="R3" s="20" t="s">
        <v>15</v>
      </c>
      <c r="S3" s="20">
        <v>4770</v>
      </c>
      <c r="T3" s="20">
        <v>3660</v>
      </c>
      <c r="U3" s="20">
        <f t="shared" ref="U3:W11" ca="1" si="0">RANDBETWEEN(0,100)/100</f>
        <v>0.11</v>
      </c>
      <c r="V3" s="20">
        <f t="shared" ca="1" si="0"/>
        <v>0.24</v>
      </c>
      <c r="W3" s="20">
        <f t="shared" ca="1" si="0"/>
        <v>0.39</v>
      </c>
      <c r="X3">
        <f t="shared" ref="X3:X11" ca="1" si="1">ROUND(IF(U3 &lt; $T$9,
 (1-SQRT(V3))*$T$3 + SQRT(V3)*(1-W3)*$T$4 + SQRT(V3)*W3*$T$5,
 (1-SQRT(V3))*$T$3 + SQRT(V3)*(1-W3)*$T$5 + SQRT(V3)*W3*$T$6
)/100,5)</f>
        <v>36.589219999999997</v>
      </c>
      <c r="Y3">
        <f t="shared" ref="Y3:Y11" ca="1" si="2">ROUND(IF(U3&lt;$T$9,(1-SQRT(V3))*$S$3+SQRT(V3)*(1-W3)*$S$4+SQRT(V3)*W3*$S$5,(1-SQRT(V3))*$S$3+SQRT(V3)*(1-W3)*$S$5+SQRT(V3)*W3*$S$6)/100,5)</f>
        <v>47.631900000000002</v>
      </c>
      <c r="Z3" s="19">
        <f t="shared" ref="Z3:AB11" ca="1" si="3">RANDBETWEEN(0,100)/100</f>
        <v>0.93</v>
      </c>
      <c r="AA3" s="19">
        <f t="shared" ca="1" si="3"/>
        <v>0.73</v>
      </c>
      <c r="AB3" s="19">
        <f t="shared" ca="1" si="3"/>
        <v>0.23</v>
      </c>
      <c r="AC3" t="e">
        <f ca="1">ROUND(IF(Z3 &lt;#REF!,
 (1-SQRT(AA3))*#REF! + SQRT(AA3)*(1-AB3)*#REF! + SQRT(AA3)*AB3*#REF!,
 (1-SQRT(AA3))*#REF! + SQRT(AA3)*(1-AB3)*#REF! + SQRT(AA3)*AB3*#REF!
)/100,5)</f>
        <v>#REF!</v>
      </c>
      <c r="AD3" t="e">
        <f ca="1">ROUND(IF(Z3&lt;#REF!,
(1-SQRT(AA3))*#REF!+SQRT(AA3)*(1-AB3)*#REF!+SQRT(AA3)*AB3*#REF!,
(1-SQRT(AA3))*#REF!+SQRT(AA3)*(1-AB3)*#REF!+SQRT(AA3)*AB3*#REF!)/100,5)</f>
        <v>#REF!</v>
      </c>
      <c r="AE3">
        <f t="shared" ref="AE3:AE11" ca="1" si="4">RANDBETWEEN(0,10000)</f>
        <v>8963</v>
      </c>
      <c r="AF3">
        <f t="shared" ref="AF3:AF11" ca="1" si="5">36+AE3/10000</f>
        <v>36.896299999999997</v>
      </c>
      <c r="AI3" s="10" t="s">
        <v>36</v>
      </c>
      <c r="AJ3" t="str">
        <f t="shared" ref="AJ3:AJ11" si="6">CONCATENATE(AI3," #",A3)</f>
        <v>T-72B3 Tank  #2</v>
      </c>
      <c r="AL3" s="10">
        <f t="shared" ref="AL3:AL11" ca="1" si="7">RANDBETWEEN(0,1000)</f>
        <v>98</v>
      </c>
      <c r="AM3" s="10">
        <f t="shared" ref="AM3:AM11" ca="1" si="8">47.7+AL3/10000</f>
        <v>47.709800000000001</v>
      </c>
    </row>
    <row r="4" spans="1:39" x14ac:dyDescent="0.3">
      <c r="A4" s="10">
        <v>3</v>
      </c>
      <c r="B4" s="10" t="s">
        <v>44</v>
      </c>
      <c r="C4" s="10" t="s">
        <v>15</v>
      </c>
      <c r="D4" s="10" t="s">
        <v>16</v>
      </c>
      <c r="E4" s="11">
        <v>36.541629999999998</v>
      </c>
      <c r="F4" s="11">
        <v>47.61694</v>
      </c>
      <c r="G4" s="12">
        <v>2.5000000000000001E-3</v>
      </c>
      <c r="H4" s="13">
        <v>90</v>
      </c>
      <c r="I4" s="10">
        <v>110</v>
      </c>
      <c r="J4" s="10">
        <v>110</v>
      </c>
      <c r="K4" s="14">
        <v>2.8</v>
      </c>
      <c r="L4" s="10">
        <v>85</v>
      </c>
      <c r="M4" s="15">
        <v>0.78</v>
      </c>
      <c r="N4" s="10">
        <v>85</v>
      </c>
      <c r="O4" s="10">
        <v>3</v>
      </c>
      <c r="R4" s="20" t="s">
        <v>18</v>
      </c>
      <c r="S4" s="20">
        <v>4760</v>
      </c>
      <c r="T4" s="20">
        <v>3650</v>
      </c>
      <c r="U4" s="20">
        <f t="shared" ca="1" si="0"/>
        <v>0.18</v>
      </c>
      <c r="V4" s="20">
        <f t="shared" ca="1" si="0"/>
        <v>0.35</v>
      </c>
      <c r="W4" s="20">
        <f t="shared" ca="1" si="0"/>
        <v>0.88</v>
      </c>
      <c r="X4">
        <f t="shared" ca="1" si="1"/>
        <v>36.644959999999998</v>
      </c>
      <c r="Y4">
        <f t="shared" ca="1" si="2"/>
        <v>47.58878</v>
      </c>
      <c r="Z4" s="19">
        <f t="shared" ca="1" si="3"/>
        <v>0.48</v>
      </c>
      <c r="AA4" s="19">
        <f t="shared" ca="1" si="3"/>
        <v>0.46</v>
      </c>
      <c r="AB4" s="19">
        <f t="shared" ca="1" si="3"/>
        <v>0.73</v>
      </c>
      <c r="AC4" t="e">
        <f ca="1">ROUND(IF(Z4 &lt;#REF!,
 (1-SQRT(AA4))*#REF! + SQRT(AA4)*(1-AB4)*#REF! + SQRT(AA4)*AB4*#REF!,
 (1-SQRT(AA4))*#REF! + SQRT(AA4)*(1-AB4)*#REF! + SQRT(AA4)*AB4*#REF!
)/100,5)</f>
        <v>#REF!</v>
      </c>
      <c r="AD4" t="e">
        <f ca="1">ROUND(IF(Z4&lt;#REF!,
(1-SQRT(AA4))*#REF!+SQRT(AA4)*(1-AB4)*#REF!+SQRT(AA4)*AB4*#REF!,
(1-SQRT(AA4))*#REF!+SQRT(AA4)*(1-AB4)*#REF!+SQRT(AA4)*AB4*#REF!)/100,5)</f>
        <v>#REF!</v>
      </c>
      <c r="AE4">
        <f t="shared" ca="1" si="4"/>
        <v>4164</v>
      </c>
      <c r="AF4">
        <f t="shared" ca="1" si="5"/>
        <v>36.416400000000003</v>
      </c>
      <c r="AI4" s="10" t="s">
        <v>37</v>
      </c>
      <c r="AJ4" t="str">
        <f t="shared" si="6"/>
        <v>T-80BVM Tank  #3</v>
      </c>
      <c r="AL4" s="10">
        <f t="shared" ca="1" si="7"/>
        <v>272</v>
      </c>
      <c r="AM4" s="10">
        <f t="shared" ca="1" si="8"/>
        <v>47.727200000000003</v>
      </c>
    </row>
    <row r="5" spans="1:39" x14ac:dyDescent="0.3">
      <c r="A5" s="10">
        <v>4</v>
      </c>
      <c r="B5" s="10" t="s">
        <v>45</v>
      </c>
      <c r="C5" s="10" t="s">
        <v>15</v>
      </c>
      <c r="D5" s="10" t="s">
        <v>16</v>
      </c>
      <c r="E5" s="11">
        <v>36.679670000000002</v>
      </c>
      <c r="F5" s="11">
        <v>47.58222</v>
      </c>
      <c r="G5" s="12">
        <v>2E-3</v>
      </c>
      <c r="H5" s="13">
        <v>90</v>
      </c>
      <c r="I5" s="10">
        <v>100</v>
      </c>
      <c r="J5" s="10">
        <v>100</v>
      </c>
      <c r="K5" s="14">
        <v>2.5</v>
      </c>
      <c r="L5" s="10">
        <v>80</v>
      </c>
      <c r="M5" s="15">
        <v>0.75</v>
      </c>
      <c r="N5" s="10">
        <v>80</v>
      </c>
      <c r="O5" s="10">
        <v>3</v>
      </c>
      <c r="R5" s="20" t="s">
        <v>57</v>
      </c>
      <c r="S5" s="20">
        <v>4750</v>
      </c>
      <c r="T5" s="20">
        <v>3670</v>
      </c>
      <c r="U5" s="20">
        <f t="shared" ca="1" si="0"/>
        <v>0.75</v>
      </c>
      <c r="V5" s="20">
        <f t="shared" ca="1" si="0"/>
        <v>0.69</v>
      </c>
      <c r="W5" s="20">
        <f t="shared" ca="1" si="0"/>
        <v>0.77</v>
      </c>
      <c r="X5">
        <f t="shared" ca="1" si="1"/>
        <v>36.747030000000002</v>
      </c>
      <c r="Y5">
        <f t="shared" ca="1" si="2"/>
        <v>47.661790000000003</v>
      </c>
      <c r="Z5" s="19">
        <f t="shared" ca="1" si="3"/>
        <v>0.62</v>
      </c>
      <c r="AA5" s="19">
        <f t="shared" ca="1" si="3"/>
        <v>0.37</v>
      </c>
      <c r="AB5" s="19">
        <f t="shared" ca="1" si="3"/>
        <v>0.99</v>
      </c>
      <c r="AC5" t="e">
        <f ca="1">ROUND(IF(Z5 &lt;#REF!,
 (1-SQRT(AA5))*#REF! + SQRT(AA5)*(1-AB5)*#REF! + SQRT(AA5)*AB5*#REF!,
 (1-SQRT(AA5))*#REF! + SQRT(AA5)*(1-AB5)*#REF! + SQRT(AA5)*AB5*#REF!
)/100,5)</f>
        <v>#REF!</v>
      </c>
      <c r="AD5" t="e">
        <f ca="1">ROUND(IF(Z5&lt;#REF!,
(1-SQRT(AA5))*#REF!+SQRT(AA5)*(1-AB5)*#REF!+SQRT(AA5)*AB5*#REF!,
(1-SQRT(AA5))*#REF!+SQRT(AA5)*(1-AB5)*#REF!+SQRT(AA5)*AB5*#REF!)/100,5)</f>
        <v>#REF!</v>
      </c>
      <c r="AE5">
        <f t="shared" ca="1" si="4"/>
        <v>4707</v>
      </c>
      <c r="AF5">
        <f t="shared" ca="1" si="5"/>
        <v>36.470700000000001</v>
      </c>
      <c r="AI5" s="10" t="s">
        <v>36</v>
      </c>
      <c r="AJ5" t="str">
        <f t="shared" si="6"/>
        <v>T-72B3 Tank  #4</v>
      </c>
      <c r="AL5" s="10">
        <f t="shared" ca="1" si="7"/>
        <v>45</v>
      </c>
      <c r="AM5" s="10">
        <f t="shared" ca="1" si="8"/>
        <v>47.704500000000003</v>
      </c>
    </row>
    <row r="6" spans="1:39" x14ac:dyDescent="0.3">
      <c r="A6" s="10">
        <v>5</v>
      </c>
      <c r="B6" s="10" t="s">
        <v>46</v>
      </c>
      <c r="C6" s="10" t="s">
        <v>15</v>
      </c>
      <c r="D6" s="10" t="s">
        <v>16</v>
      </c>
      <c r="E6" s="11">
        <v>36.659100000000002</v>
      </c>
      <c r="F6" s="11">
        <v>47.6982</v>
      </c>
      <c r="G6" s="12">
        <v>2.5000000000000001E-3</v>
      </c>
      <c r="H6" s="13">
        <v>90</v>
      </c>
      <c r="I6" s="10">
        <v>110</v>
      </c>
      <c r="J6" s="10">
        <v>110</v>
      </c>
      <c r="K6" s="14">
        <v>2.8</v>
      </c>
      <c r="L6" s="10">
        <v>85</v>
      </c>
      <c r="M6" s="15">
        <v>0.78</v>
      </c>
      <c r="N6" s="10">
        <v>85</v>
      </c>
      <c r="O6" s="10">
        <v>3</v>
      </c>
      <c r="R6" s="20" t="s">
        <v>58</v>
      </c>
      <c r="S6" s="20">
        <v>4770</v>
      </c>
      <c r="T6" s="20">
        <v>3680</v>
      </c>
      <c r="U6" s="20">
        <f t="shared" ca="1" si="0"/>
        <v>0.34</v>
      </c>
      <c r="V6" s="20">
        <f t="shared" ca="1" si="0"/>
        <v>0.73</v>
      </c>
      <c r="W6" s="20">
        <f t="shared" ca="1" si="0"/>
        <v>0.94</v>
      </c>
      <c r="X6">
        <f t="shared" ca="1" si="1"/>
        <v>36.675190000000001</v>
      </c>
      <c r="Y6">
        <f t="shared" ca="1" si="2"/>
        <v>47.53425</v>
      </c>
      <c r="Z6" s="19">
        <f t="shared" ca="1" si="3"/>
        <v>0.36</v>
      </c>
      <c r="AA6" s="19">
        <f t="shared" ca="1" si="3"/>
        <v>0.37</v>
      </c>
      <c r="AB6" s="19">
        <f t="shared" ca="1" si="3"/>
        <v>0.82</v>
      </c>
      <c r="AC6" t="e">
        <f ca="1">ROUND(IF(Z6 &lt;#REF!,
 (1-SQRT(AA6))*#REF! + SQRT(AA6)*(1-AB6)*#REF! + SQRT(AA6)*AB6*#REF!,
 (1-SQRT(AA6))*#REF! + SQRT(AA6)*(1-AB6)*#REF! + SQRT(AA6)*AB6*#REF!
)/100,5)</f>
        <v>#REF!</v>
      </c>
      <c r="AD6" t="e">
        <f ca="1">ROUND(IF(Z6&lt;#REF!,
(1-SQRT(AA6))*#REF!+SQRT(AA6)*(1-AB6)*#REF!+SQRT(AA6)*AB6*#REF!,
(1-SQRT(AA6))*#REF!+SQRT(AA6)*(1-AB6)*#REF!+SQRT(AA6)*AB6*#REF!)/100,5)</f>
        <v>#REF!</v>
      </c>
      <c r="AE6">
        <f t="shared" ca="1" si="4"/>
        <v>4141</v>
      </c>
      <c r="AF6">
        <f t="shared" ca="1" si="5"/>
        <v>36.414099999999998</v>
      </c>
      <c r="AI6" s="10" t="s">
        <v>37</v>
      </c>
      <c r="AJ6" t="str">
        <f t="shared" si="6"/>
        <v>T-80BVM Tank  #5</v>
      </c>
      <c r="AL6" s="10">
        <f t="shared" ca="1" si="7"/>
        <v>123</v>
      </c>
      <c r="AM6" s="10">
        <f t="shared" ca="1" si="8"/>
        <v>47.712300000000006</v>
      </c>
    </row>
    <row r="7" spans="1:39" x14ac:dyDescent="0.3">
      <c r="A7" s="10">
        <v>6</v>
      </c>
      <c r="B7" s="10" t="s">
        <v>47</v>
      </c>
      <c r="C7" s="10" t="s">
        <v>15</v>
      </c>
      <c r="D7" s="10" t="s">
        <v>17</v>
      </c>
      <c r="E7" s="11">
        <v>36.612000000000002</v>
      </c>
      <c r="F7" s="11">
        <v>47.649000000000001</v>
      </c>
      <c r="G7" s="12">
        <v>3.0000000000000001E-3</v>
      </c>
      <c r="H7" s="13">
        <v>90</v>
      </c>
      <c r="I7" s="10">
        <v>60</v>
      </c>
      <c r="J7" s="10">
        <v>60</v>
      </c>
      <c r="K7" s="14">
        <v>1.5</v>
      </c>
      <c r="L7" s="10">
        <v>40</v>
      </c>
      <c r="M7" s="15">
        <v>0.7</v>
      </c>
      <c r="N7" s="10">
        <v>30</v>
      </c>
      <c r="O7" s="10">
        <v>7</v>
      </c>
      <c r="T7" s="20">
        <f>ABS(($S$4-$S$3)*($T$5-$T$3)-($T$4-$T$3)*($S$5-$S$3))</f>
        <v>300</v>
      </c>
      <c r="U7" s="20">
        <f t="shared" ca="1" si="0"/>
        <v>0.21</v>
      </c>
      <c r="V7" s="20">
        <f t="shared" ca="1" si="0"/>
        <v>0.74</v>
      </c>
      <c r="W7" s="20">
        <f t="shared" ca="1" si="0"/>
        <v>0.27</v>
      </c>
      <c r="X7">
        <f t="shared" ca="1" si="1"/>
        <v>36.560429999999997</v>
      </c>
      <c r="Y7">
        <f t="shared" ca="1" si="2"/>
        <v>47.59075</v>
      </c>
      <c r="Z7" s="19">
        <f t="shared" ca="1" si="3"/>
        <v>0.38</v>
      </c>
      <c r="AA7" s="19">
        <f t="shared" ca="1" si="3"/>
        <v>0.5</v>
      </c>
      <c r="AB7" s="19">
        <f t="shared" ca="1" si="3"/>
        <v>0.01</v>
      </c>
      <c r="AC7" t="e">
        <f ca="1">ROUND(IF(Z7 &lt;#REF!,
 (1-SQRT(AA7))*#REF! + SQRT(AA7)*(1-AB7)*#REF! + SQRT(AA7)*AB7*#REF!,
 (1-SQRT(AA7))*#REF! + SQRT(AA7)*(1-AB7)*#REF! + SQRT(AA7)*AB7*#REF!
)/100,5)</f>
        <v>#REF!</v>
      </c>
      <c r="AD7" t="e">
        <f ca="1">ROUND(IF(Z7&lt;#REF!,
(1-SQRT(AA7))*#REF!+SQRT(AA7)*(1-AB7)*#REF!+SQRT(AA7)*AB7*#REF!,
(1-SQRT(AA7))*#REF!+SQRT(AA7)*(1-AB7)*#REF!+SQRT(AA7)*AB7*#REF!)/100,5)</f>
        <v>#REF!</v>
      </c>
      <c r="AE7">
        <f t="shared" ca="1" si="4"/>
        <v>450</v>
      </c>
      <c r="AF7">
        <f t="shared" ca="1" si="5"/>
        <v>36.045000000000002</v>
      </c>
      <c r="AI7" s="10" t="s">
        <v>38</v>
      </c>
      <c r="AJ7" t="str">
        <f t="shared" si="6"/>
        <v>BMP-2  #6</v>
      </c>
      <c r="AL7" s="10">
        <f t="shared" ca="1" si="7"/>
        <v>698</v>
      </c>
      <c r="AM7" s="10">
        <f t="shared" ca="1" si="8"/>
        <v>47.769800000000004</v>
      </c>
    </row>
    <row r="8" spans="1:39" x14ac:dyDescent="0.3">
      <c r="A8" s="10">
        <v>7</v>
      </c>
      <c r="B8" s="10" t="s">
        <v>48</v>
      </c>
      <c r="C8" s="10" t="s">
        <v>15</v>
      </c>
      <c r="D8" s="10" t="s">
        <v>17</v>
      </c>
      <c r="E8" s="11">
        <v>36.65634</v>
      </c>
      <c r="F8" s="11">
        <v>47.616720000000001</v>
      </c>
      <c r="G8" s="12">
        <v>3.0000000000000001E-3</v>
      </c>
      <c r="H8" s="13">
        <v>90</v>
      </c>
      <c r="I8" s="10">
        <v>60</v>
      </c>
      <c r="J8" s="10">
        <v>60</v>
      </c>
      <c r="K8" s="14">
        <v>1.5</v>
      </c>
      <c r="L8" s="10">
        <v>40</v>
      </c>
      <c r="M8" s="15">
        <v>0.7</v>
      </c>
      <c r="N8" s="10">
        <v>30</v>
      </c>
      <c r="O8" s="10">
        <v>7</v>
      </c>
      <c r="T8" s="20">
        <f>ABS(($S$5-$S$3)*($T$6-$T$3)-($T$5-$T$3)*($S$6-$S$3))</f>
        <v>400</v>
      </c>
      <c r="U8" s="20">
        <f t="shared" ca="1" si="0"/>
        <v>0.78</v>
      </c>
      <c r="V8" s="20">
        <f t="shared" ca="1" si="0"/>
        <v>0.44</v>
      </c>
      <c r="W8" s="20">
        <f t="shared" ca="1" si="0"/>
        <v>0.05</v>
      </c>
      <c r="X8">
        <f t="shared" ca="1" si="1"/>
        <v>36.669649999999997</v>
      </c>
      <c r="Y8">
        <f t="shared" ca="1" si="2"/>
        <v>47.573970000000003</v>
      </c>
      <c r="Z8" s="19">
        <f t="shared" ca="1" si="3"/>
        <v>0.22</v>
      </c>
      <c r="AA8" s="19">
        <f t="shared" ca="1" si="3"/>
        <v>0.9</v>
      </c>
      <c r="AB8" s="19">
        <f t="shared" ca="1" si="3"/>
        <v>0.19</v>
      </c>
      <c r="AC8" t="e">
        <f ca="1">ROUND(IF(Z8 &lt;#REF!,
 (1-SQRT(AA8))*#REF! + SQRT(AA8)*(1-AB8)*#REF! + SQRT(AA8)*AB8*#REF!,
 (1-SQRT(AA8))*#REF! + SQRT(AA8)*(1-AB8)*#REF! + SQRT(AA8)*AB8*#REF!
)/100,5)</f>
        <v>#REF!</v>
      </c>
      <c r="AD8" t="e">
        <f ca="1">ROUND(IF(Z8&lt;#REF!,
(1-SQRT(AA8))*#REF!+SQRT(AA8)*(1-AB8)*#REF!+SQRT(AA8)*AB8*#REF!,
(1-SQRT(AA8))*#REF!+SQRT(AA8)*(1-AB8)*#REF!+SQRT(AA8)*AB8*#REF!)/100,5)</f>
        <v>#REF!</v>
      </c>
      <c r="AE8">
        <f t="shared" ca="1" si="4"/>
        <v>1088</v>
      </c>
      <c r="AF8">
        <f t="shared" ca="1" si="5"/>
        <v>36.108800000000002</v>
      </c>
      <c r="AI8" s="10" t="s">
        <v>38</v>
      </c>
      <c r="AJ8" t="str">
        <f t="shared" si="6"/>
        <v>BMP-2  #7</v>
      </c>
      <c r="AL8" s="10">
        <f t="shared" ca="1" si="7"/>
        <v>709</v>
      </c>
      <c r="AM8" s="10">
        <f t="shared" ca="1" si="8"/>
        <v>47.770900000000005</v>
      </c>
    </row>
    <row r="9" spans="1:39" ht="15" customHeight="1" x14ac:dyDescent="0.3">
      <c r="A9" s="10">
        <v>8</v>
      </c>
      <c r="B9" s="10" t="s">
        <v>49</v>
      </c>
      <c r="C9" s="10" t="s">
        <v>15</v>
      </c>
      <c r="D9" s="10" t="s">
        <v>17</v>
      </c>
      <c r="E9" s="11">
        <v>36.660319999999999</v>
      </c>
      <c r="F9" s="11">
        <v>47.608989999999999</v>
      </c>
      <c r="G9" s="12">
        <v>3.5000000000000001E-3</v>
      </c>
      <c r="H9" s="13">
        <v>90</v>
      </c>
      <c r="I9" s="10">
        <v>50</v>
      </c>
      <c r="J9" s="10">
        <v>50</v>
      </c>
      <c r="K9" s="14">
        <v>1.2</v>
      </c>
      <c r="L9" s="10">
        <v>25</v>
      </c>
      <c r="M9" s="15">
        <v>0.65</v>
      </c>
      <c r="N9" s="10">
        <v>20</v>
      </c>
      <c r="O9" s="10">
        <v>8</v>
      </c>
      <c r="R9" s="17"/>
      <c r="S9" s="17"/>
      <c r="T9" s="20">
        <f>T7/(T7+T8)</f>
        <v>0.42857142857142855</v>
      </c>
      <c r="U9" s="20">
        <f t="shared" ca="1" si="0"/>
        <v>0.95</v>
      </c>
      <c r="V9" s="20">
        <f t="shared" ca="1" si="0"/>
        <v>0.52</v>
      </c>
      <c r="W9" s="20">
        <f t="shared" ca="1" si="0"/>
        <v>0.71</v>
      </c>
      <c r="X9">
        <f t="shared" ca="1" si="1"/>
        <v>36.723309999999998</v>
      </c>
      <c r="Y9">
        <f t="shared" ca="1" si="2"/>
        <v>47.658180000000002</v>
      </c>
      <c r="Z9" s="19">
        <f t="shared" ca="1" si="3"/>
        <v>0.15</v>
      </c>
      <c r="AA9" s="19">
        <f t="shared" ca="1" si="3"/>
        <v>0.51</v>
      </c>
      <c r="AB9" s="19">
        <f t="shared" ca="1" si="3"/>
        <v>0.67</v>
      </c>
      <c r="AC9" t="e">
        <f ca="1">ROUND(IF(Z9 &lt;#REF!,
 (1-SQRT(AA9))*#REF! + SQRT(AA9)*(1-AB9)*#REF! + SQRT(AA9)*AB9*#REF!,
 (1-SQRT(AA9))*#REF! + SQRT(AA9)*(1-AB9)*#REF! + SQRT(AA9)*AB9*#REF!
)/100,5)</f>
        <v>#REF!</v>
      </c>
      <c r="AD9" t="e">
        <f ca="1">ROUND(IF(Z9&lt;#REF!,
(1-SQRT(AA9))*#REF!+SQRT(AA9)*(1-AB9)*#REF!+SQRT(AA9)*AB9*#REF!,
(1-SQRT(AA9))*#REF!+SQRT(AA9)*(1-AB9)*#REF!+SQRT(AA9)*AB9*#REF!)/100,5)</f>
        <v>#REF!</v>
      </c>
      <c r="AE9">
        <f t="shared" ca="1" si="4"/>
        <v>3194</v>
      </c>
      <c r="AF9">
        <f t="shared" ca="1" si="5"/>
        <v>36.319400000000002</v>
      </c>
      <c r="AI9" s="10" t="s">
        <v>39</v>
      </c>
      <c r="AJ9" t="str">
        <f t="shared" si="6"/>
        <v>BTR-80  #8</v>
      </c>
      <c r="AL9" s="10">
        <f t="shared" ca="1" si="7"/>
        <v>689</v>
      </c>
      <c r="AM9" s="10">
        <f t="shared" ca="1" si="8"/>
        <v>47.768900000000002</v>
      </c>
    </row>
    <row r="10" spans="1:39" x14ac:dyDescent="0.3">
      <c r="A10" s="10">
        <v>9</v>
      </c>
      <c r="B10" s="10" t="s">
        <v>50</v>
      </c>
      <c r="C10" s="10" t="s">
        <v>15</v>
      </c>
      <c r="D10" s="10" t="s">
        <v>17</v>
      </c>
      <c r="E10" s="11">
        <v>36.675130000000003</v>
      </c>
      <c r="F10" s="11">
        <v>47.671379999999999</v>
      </c>
      <c r="G10" s="12">
        <v>3.0000000000000001E-3</v>
      </c>
      <c r="H10" s="13">
        <v>90</v>
      </c>
      <c r="I10" s="10">
        <v>60</v>
      </c>
      <c r="J10" s="10">
        <v>60</v>
      </c>
      <c r="K10" s="14">
        <v>1.5</v>
      </c>
      <c r="L10" s="10">
        <v>40</v>
      </c>
      <c r="M10" s="15">
        <v>0.7</v>
      </c>
      <c r="N10" s="10">
        <v>30</v>
      </c>
      <c r="O10" s="10">
        <v>7</v>
      </c>
      <c r="R10" s="19"/>
      <c r="S10" s="19"/>
      <c r="T10" s="19"/>
      <c r="U10" s="20">
        <f t="shared" ca="1" si="0"/>
        <v>0.46</v>
      </c>
      <c r="V10" s="20">
        <f t="shared" ca="1" si="0"/>
        <v>0.09</v>
      </c>
      <c r="W10" s="20">
        <f t="shared" ca="1" si="0"/>
        <v>0.59</v>
      </c>
      <c r="X10">
        <f t="shared" ca="1" si="1"/>
        <v>36.6477</v>
      </c>
      <c r="Y10">
        <f t="shared" ca="1" si="2"/>
        <v>47.675400000000003</v>
      </c>
      <c r="Z10" s="19">
        <f t="shared" ca="1" si="3"/>
        <v>0.02</v>
      </c>
      <c r="AA10" s="19">
        <f t="shared" ca="1" si="3"/>
        <v>0.7</v>
      </c>
      <c r="AB10" s="19">
        <f t="shared" ca="1" si="3"/>
        <v>0.11</v>
      </c>
      <c r="AC10" t="e">
        <f ca="1">ROUND(IF(Z10 &lt;#REF!,
 (1-SQRT(AA10))*#REF! + SQRT(AA10)*(1-AB10)*#REF! + SQRT(AA10)*AB10*#REF!,
 (1-SQRT(AA10))*#REF! + SQRT(AA10)*(1-AB10)*#REF! + SQRT(AA10)*AB10*#REF!
)/100,5)</f>
        <v>#REF!</v>
      </c>
      <c r="AD10" t="e">
        <f ca="1">ROUND(IF(Z10&lt;#REF!,
(1-SQRT(AA10))*#REF!+SQRT(AA10)*(1-AB10)*#REF!+SQRT(AA10)*AB10*#REF!,
(1-SQRT(AA10))*#REF!+SQRT(AA10)*(1-AB10)*#REF!+SQRT(AA10)*AB10*#REF!)/100,5)</f>
        <v>#REF!</v>
      </c>
      <c r="AE10">
        <f t="shared" ca="1" si="4"/>
        <v>6243</v>
      </c>
      <c r="AF10">
        <f t="shared" ca="1" si="5"/>
        <v>36.624299999999998</v>
      </c>
      <c r="AI10" s="10" t="s">
        <v>38</v>
      </c>
      <c r="AJ10" t="str">
        <f t="shared" si="6"/>
        <v>BMP-2  #9</v>
      </c>
      <c r="AL10" s="10">
        <f t="shared" ca="1" si="7"/>
        <v>190</v>
      </c>
      <c r="AM10" s="10">
        <f t="shared" ca="1" si="8"/>
        <v>47.719000000000001</v>
      </c>
    </row>
    <row r="11" spans="1:39" x14ac:dyDescent="0.3">
      <c r="A11" s="10">
        <v>10</v>
      </c>
      <c r="B11" s="10" t="s">
        <v>51</v>
      </c>
      <c r="C11" s="10" t="s">
        <v>15</v>
      </c>
      <c r="D11" s="10" t="s">
        <v>17</v>
      </c>
      <c r="E11" s="11">
        <v>36.771540000000002</v>
      </c>
      <c r="F11" s="11">
        <v>47.653219999999997</v>
      </c>
      <c r="G11" s="12">
        <v>3.0000000000000001E-3</v>
      </c>
      <c r="H11" s="13">
        <v>90</v>
      </c>
      <c r="I11" s="10">
        <v>60</v>
      </c>
      <c r="J11" s="10">
        <v>60</v>
      </c>
      <c r="K11" s="14">
        <v>1.5</v>
      </c>
      <c r="L11" s="10">
        <v>40</v>
      </c>
      <c r="M11" s="15">
        <v>0.7</v>
      </c>
      <c r="N11" s="10">
        <v>30</v>
      </c>
      <c r="O11" s="10">
        <v>7</v>
      </c>
      <c r="R11" s="19"/>
      <c r="S11" s="21" t="s">
        <v>59</v>
      </c>
      <c r="T11" s="21" t="s">
        <v>60</v>
      </c>
      <c r="U11" s="20">
        <f t="shared" ca="1" si="0"/>
        <v>0.57999999999999996</v>
      </c>
      <c r="V11" s="20">
        <f t="shared" ca="1" si="0"/>
        <v>0.28999999999999998</v>
      </c>
      <c r="W11" s="20">
        <f t="shared" ca="1" si="0"/>
        <v>0.6</v>
      </c>
      <c r="X11">
        <f t="shared" ca="1" si="1"/>
        <v>36.686160000000001</v>
      </c>
      <c r="Y11">
        <f t="shared" ca="1" si="2"/>
        <v>47.65692</v>
      </c>
      <c r="Z11" s="19">
        <f t="shared" ca="1" si="3"/>
        <v>0.67</v>
      </c>
      <c r="AA11" s="19">
        <f t="shared" ca="1" si="3"/>
        <v>0.87</v>
      </c>
      <c r="AB11" s="19">
        <f t="shared" ca="1" si="3"/>
        <v>0</v>
      </c>
      <c r="AC11" t="e">
        <f ca="1">ROUND(IF(Z11 &lt;#REF!,
 (1-SQRT(AA11))*#REF! + SQRT(AA11)*(1-AB11)*#REF! + SQRT(AA11)*AB11*#REF!,
 (1-SQRT(AA11))*#REF! + SQRT(AA11)*(1-AB11)*#REF! + SQRT(AA11)*AB11*#REF!
)/100,5)</f>
        <v>#REF!</v>
      </c>
      <c r="AD11" t="e">
        <f ca="1">ROUND(IF(Z11&lt;#REF!,
(1-SQRT(AA11))*#REF!+SQRT(AA11)*(1-AB11)*#REF!+SQRT(AA11)*AB11*#REF!,
(1-SQRT(AA11))*#REF!+SQRT(AA11)*(1-AB11)*#REF!+SQRT(AA11)*AB11*#REF!)/100,5)</f>
        <v>#REF!</v>
      </c>
      <c r="AE11">
        <f t="shared" ca="1" si="4"/>
        <v>5382</v>
      </c>
      <c r="AF11">
        <f t="shared" ca="1" si="5"/>
        <v>36.538200000000003</v>
      </c>
      <c r="AI11" s="10" t="s">
        <v>38</v>
      </c>
      <c r="AJ11" t="str">
        <f t="shared" si="6"/>
        <v>BMP-2  #10</v>
      </c>
      <c r="AL11" s="10">
        <f t="shared" ca="1" si="7"/>
        <v>977</v>
      </c>
      <c r="AM11" s="10">
        <f t="shared" ca="1" si="8"/>
        <v>47.797700000000006</v>
      </c>
    </row>
    <row r="12" spans="1:39" x14ac:dyDescent="0.3">
      <c r="A12" s="4">
        <v>801</v>
      </c>
      <c r="B12" s="4" t="s">
        <v>52</v>
      </c>
      <c r="C12" s="4" t="s">
        <v>18</v>
      </c>
      <c r="D12" s="4" t="s">
        <v>16</v>
      </c>
      <c r="E12" s="5">
        <v>36.87865</v>
      </c>
      <c r="F12" s="5">
        <v>47.531440000000003</v>
      </c>
      <c r="G12" s="6">
        <v>2.2000000000000001E-3</v>
      </c>
      <c r="H12" s="7">
        <v>270</v>
      </c>
      <c r="I12" s="4">
        <v>120</v>
      </c>
      <c r="J12" s="4">
        <v>120</v>
      </c>
      <c r="K12" s="8">
        <v>2.8</v>
      </c>
      <c r="L12" s="4">
        <v>90</v>
      </c>
      <c r="M12" s="9">
        <v>0.8</v>
      </c>
      <c r="N12" s="4">
        <v>90</v>
      </c>
      <c r="O12" s="4">
        <v>3</v>
      </c>
      <c r="U12" s="20">
        <f t="shared" ref="U12:W16" ca="1" si="9">RANDBETWEEN(0,100)/100</f>
        <v>0.82</v>
      </c>
      <c r="V12" s="20">
        <f t="shared" ca="1" si="9"/>
        <v>0.41</v>
      </c>
      <c r="W12" s="20">
        <f t="shared" ca="1" si="9"/>
        <v>0.85</v>
      </c>
      <c r="X12">
        <f t="shared" ref="X12:X16" ca="1" si="10">ROUND(IF(U12 &lt; $T$9,
 (1-SQRT(V12))*$T$3 + SQRT(V12)*(1-W12)*$T$4 + SQRT(V12)*W12*$T$5,
 (1-SQRT(V12))*$T$3 + SQRT(V12)*(1-W12)*$T$5 + SQRT(V12)*W12*$T$6
)/100,5)</f>
        <v>36.71846</v>
      </c>
      <c r="Y12">
        <f t="shared" ref="Y12:Y16" ca="1" si="11">ROUND(IF(U12&lt;$T$9,(1-SQRT(V12))*$S$3+SQRT(V12)*(1-W12)*$S$4+SQRT(V12)*W12*$S$5,(1-SQRT(V12))*$S$3+SQRT(V12)*(1-W12)*$S$5+SQRT(V12)*W12*$S$6)/100,5)</f>
        <v>47.680790000000002</v>
      </c>
      <c r="Z12" s="19">
        <f t="shared" ref="Z12:AB16" ca="1" si="12">RANDBETWEEN(0,100)/100</f>
        <v>0.86</v>
      </c>
      <c r="AA12" s="19">
        <f t="shared" ca="1" si="12"/>
        <v>0.61</v>
      </c>
      <c r="AB12" s="19">
        <f t="shared" ca="1" si="12"/>
        <v>0.89</v>
      </c>
      <c r="AC12" t="e">
        <f ca="1">ROUND(IF(Z12 &lt;#REF!,
 (1-SQRT(AA12))*#REF! + SQRT(AA12)*(1-AB12)*#REF! + SQRT(AA12)*AB12*#REF!,
 (1-SQRT(AA12))*#REF! + SQRT(AA12)*(1-AB12)*#REF! + SQRT(AA12)*AB12*#REF!
)/100,5)</f>
        <v>#REF!</v>
      </c>
      <c r="AD12" t="e">
        <f ca="1">ROUND(IF(Z12&lt;#REF!,
(1-SQRT(AA12))*#REF!+SQRT(AA12)*(1-AB12)*#REF!+SQRT(AA12)*AB12*#REF!,
(1-SQRT(AA12))*#REF!+SQRT(AA12)*(1-AB12)*#REF!+SQRT(AA12)*AB12*#REF!)/100,5)</f>
        <v>#REF!</v>
      </c>
      <c r="AE12">
        <f t="shared" ref="AE12:AE16" ca="1" si="13">RANDBETWEEN(0,10000)</f>
        <v>9792</v>
      </c>
      <c r="AF12">
        <f t="shared" ref="AF12:AF16" ca="1" si="14">36+AE12/10000</f>
        <v>36.979199999999999</v>
      </c>
      <c r="AI12" s="4" t="s">
        <v>40</v>
      </c>
      <c r="AJ12" t="str">
        <f t="shared" ref="AJ12:AJ16" si="15">CONCATENATE(AI12," #",A12)</f>
        <v>M1A2 Abrams  #801</v>
      </c>
      <c r="AL12" s="16">
        <f t="shared" ref="AL12:AL16" ca="1" si="16">RANDBETWEEN(0,1000)</f>
        <v>932</v>
      </c>
      <c r="AM12" s="16">
        <f ca="1">47.4+AL12/10000</f>
        <v>47.493200000000002</v>
      </c>
    </row>
    <row r="13" spans="1:39" x14ac:dyDescent="0.3">
      <c r="A13" s="4">
        <v>802</v>
      </c>
      <c r="B13" s="4" t="s">
        <v>53</v>
      </c>
      <c r="C13" s="4" t="s">
        <v>18</v>
      </c>
      <c r="D13" s="4" t="s">
        <v>16</v>
      </c>
      <c r="E13" s="5">
        <v>36.945920000000001</v>
      </c>
      <c r="F13" s="5">
        <v>47.527889999999999</v>
      </c>
      <c r="G13" s="6">
        <v>2.2000000000000001E-3</v>
      </c>
      <c r="H13" s="7">
        <v>270</v>
      </c>
      <c r="I13" s="4">
        <v>120</v>
      </c>
      <c r="J13" s="4">
        <v>120</v>
      </c>
      <c r="K13" s="8">
        <v>2.8</v>
      </c>
      <c r="L13" s="4">
        <v>90</v>
      </c>
      <c r="M13" s="9">
        <v>0.8</v>
      </c>
      <c r="N13" s="4">
        <v>90</v>
      </c>
      <c r="O13" s="4">
        <v>3</v>
      </c>
      <c r="U13" s="20">
        <f t="shared" ca="1" si="9"/>
        <v>0.57999999999999996</v>
      </c>
      <c r="V13" s="20">
        <f t="shared" ca="1" si="9"/>
        <v>0.13</v>
      </c>
      <c r="W13" s="20">
        <f t="shared" ca="1" si="9"/>
        <v>0.63</v>
      </c>
      <c r="X13">
        <f t="shared" ca="1" si="10"/>
        <v>36.658769999999997</v>
      </c>
      <c r="Y13">
        <f t="shared" ca="1" si="11"/>
        <v>47.673319999999997</v>
      </c>
      <c r="Z13" s="19">
        <f t="shared" ca="1" si="12"/>
        <v>0.5</v>
      </c>
      <c r="AA13" s="19">
        <f t="shared" ca="1" si="12"/>
        <v>1</v>
      </c>
      <c r="AB13" s="19">
        <f t="shared" ca="1" si="12"/>
        <v>0.06</v>
      </c>
      <c r="AC13" t="e">
        <f ca="1">ROUND(IF(Z13 &lt;#REF!,
 (1-SQRT(AA13))*#REF! + SQRT(AA13)*(1-AB13)*#REF! + SQRT(AA13)*AB13*#REF!,
 (1-SQRT(AA13))*#REF! + SQRT(AA13)*(1-AB13)*#REF! + SQRT(AA13)*AB13*#REF!
)/100,5)</f>
        <v>#REF!</v>
      </c>
      <c r="AD13" t="e">
        <f ca="1">ROUND(IF(Z13&lt;#REF!,
(1-SQRT(AA13))*#REF!+SQRT(AA13)*(1-AB13)*#REF!+SQRT(AA13)*AB13*#REF!,
(1-SQRT(AA13))*#REF!+SQRT(AA13)*(1-AB13)*#REF!+SQRT(AA13)*AB13*#REF!)/100,5)</f>
        <v>#REF!</v>
      </c>
      <c r="AE13">
        <f t="shared" ca="1" si="13"/>
        <v>6495</v>
      </c>
      <c r="AF13">
        <f t="shared" ca="1" si="14"/>
        <v>36.649500000000003</v>
      </c>
      <c r="AI13" s="4" t="s">
        <v>40</v>
      </c>
      <c r="AJ13" t="str">
        <f t="shared" si="15"/>
        <v>M1A2 Abrams  #802</v>
      </c>
      <c r="AL13" s="16">
        <f t="shared" ca="1" si="16"/>
        <v>940</v>
      </c>
      <c r="AM13" s="16">
        <f t="shared" ref="AM13:AM16" ca="1" si="17">47.4+AL13/10000</f>
        <v>47.494</v>
      </c>
    </row>
    <row r="14" spans="1:39" x14ac:dyDescent="0.3">
      <c r="A14" s="4">
        <v>803</v>
      </c>
      <c r="B14" s="4" t="s">
        <v>54</v>
      </c>
      <c r="C14" s="4" t="s">
        <v>18</v>
      </c>
      <c r="D14" s="4" t="s">
        <v>16</v>
      </c>
      <c r="E14" s="5">
        <v>36.761200000000002</v>
      </c>
      <c r="F14" s="5">
        <v>47.609749999999998</v>
      </c>
      <c r="G14" s="6">
        <v>2.2000000000000001E-3</v>
      </c>
      <c r="H14" s="7">
        <v>270</v>
      </c>
      <c r="I14" s="4">
        <v>120</v>
      </c>
      <c r="J14" s="4">
        <v>120</v>
      </c>
      <c r="K14" s="8">
        <v>2.8</v>
      </c>
      <c r="L14" s="4">
        <v>90</v>
      </c>
      <c r="M14" s="9">
        <v>0.8</v>
      </c>
      <c r="N14" s="4">
        <v>90</v>
      </c>
      <c r="O14" s="4">
        <v>3</v>
      </c>
      <c r="U14" s="20">
        <f t="shared" ca="1" si="9"/>
        <v>0.74</v>
      </c>
      <c r="V14" s="20">
        <f t="shared" ca="1" si="9"/>
        <v>0.6</v>
      </c>
      <c r="W14" s="20">
        <f t="shared" ca="1" si="9"/>
        <v>0.18</v>
      </c>
      <c r="X14">
        <f t="shared" ca="1" si="10"/>
        <v>36.691400000000002</v>
      </c>
      <c r="Y14">
        <f t="shared" ca="1" si="11"/>
        <v>47.572969999999998</v>
      </c>
      <c r="Z14" s="19">
        <f t="shared" ca="1" si="12"/>
        <v>0.8</v>
      </c>
      <c r="AA14" s="19">
        <f t="shared" ca="1" si="12"/>
        <v>0.47</v>
      </c>
      <c r="AB14" s="19">
        <f t="shared" ca="1" si="12"/>
        <v>0.05</v>
      </c>
      <c r="AC14" t="e">
        <f ca="1">ROUND(IF(Z14 &lt;#REF!,
 (1-SQRT(AA14))*#REF! + SQRT(AA14)*(1-AB14)*#REF! + SQRT(AA14)*AB14*#REF!,
 (1-SQRT(AA14))*#REF! + SQRT(AA14)*(1-AB14)*#REF! + SQRT(AA14)*AB14*#REF!
)/100,5)</f>
        <v>#REF!</v>
      </c>
      <c r="AD14" t="e">
        <f ca="1">ROUND(IF(Z14&lt;#REF!,
(1-SQRT(AA14))*#REF!+SQRT(AA14)*(1-AB14)*#REF!+SQRT(AA14)*AB14*#REF!,
(1-SQRT(AA14))*#REF!+SQRT(AA14)*(1-AB14)*#REF!+SQRT(AA14)*AB14*#REF!)/100,5)</f>
        <v>#REF!</v>
      </c>
      <c r="AE14">
        <f t="shared" ca="1" si="13"/>
        <v>7324</v>
      </c>
      <c r="AF14">
        <f t="shared" ca="1" si="14"/>
        <v>36.732399999999998</v>
      </c>
      <c r="AI14" s="4" t="s">
        <v>40</v>
      </c>
      <c r="AJ14" t="str">
        <f t="shared" si="15"/>
        <v>M1A2 Abrams  #803</v>
      </c>
      <c r="AL14" s="16">
        <f t="shared" ca="1" si="16"/>
        <v>81</v>
      </c>
      <c r="AM14" s="16">
        <f t="shared" ca="1" si="17"/>
        <v>47.408099999999997</v>
      </c>
    </row>
    <row r="15" spans="1:39" x14ac:dyDescent="0.3">
      <c r="A15" s="4">
        <v>804</v>
      </c>
      <c r="B15" s="4" t="s">
        <v>55</v>
      </c>
      <c r="C15" s="4" t="s">
        <v>18</v>
      </c>
      <c r="D15" s="4" t="s">
        <v>17</v>
      </c>
      <c r="E15" s="5">
        <v>36.795020000000001</v>
      </c>
      <c r="F15" s="5">
        <v>47.532809999999998</v>
      </c>
      <c r="G15" s="6">
        <v>3.2000000000000002E-3</v>
      </c>
      <c r="H15" s="7">
        <v>270</v>
      </c>
      <c r="I15" s="4">
        <v>65</v>
      </c>
      <c r="J15" s="4">
        <v>65</v>
      </c>
      <c r="K15" s="8">
        <v>1.8</v>
      </c>
      <c r="L15" s="4">
        <v>45</v>
      </c>
      <c r="M15" s="9">
        <v>0.73</v>
      </c>
      <c r="N15" s="4">
        <v>35</v>
      </c>
      <c r="O15" s="4">
        <v>6</v>
      </c>
      <c r="U15" s="20">
        <f t="shared" ca="1" si="9"/>
        <v>0.88</v>
      </c>
      <c r="V15" s="20">
        <f t="shared" ca="1" si="9"/>
        <v>0.53</v>
      </c>
      <c r="W15" s="20">
        <f t="shared" ca="1" si="9"/>
        <v>0.93</v>
      </c>
      <c r="X15">
        <f t="shared" ca="1" si="10"/>
        <v>36.74051</v>
      </c>
      <c r="Y15">
        <f t="shared" ca="1" si="11"/>
        <v>47.689810000000001</v>
      </c>
      <c r="Z15" s="19">
        <f t="shared" ca="1" si="12"/>
        <v>0.63</v>
      </c>
      <c r="AA15" s="19">
        <f t="shared" ca="1" si="12"/>
        <v>0.18</v>
      </c>
      <c r="AB15" s="19">
        <f t="shared" ca="1" si="12"/>
        <v>0.83</v>
      </c>
      <c r="AC15" t="e">
        <f ca="1">ROUND(IF(Z15 &lt;#REF!,
 (1-SQRT(AA15))*#REF! + SQRT(AA15)*(1-AB15)*#REF! + SQRT(AA15)*AB15*#REF!,
 (1-SQRT(AA15))*#REF! + SQRT(AA15)*(1-AB15)*#REF! + SQRT(AA15)*AB15*#REF!
)/100,5)</f>
        <v>#REF!</v>
      </c>
      <c r="AD15" t="e">
        <f ca="1">ROUND(IF(Z15&lt;#REF!,
(1-SQRT(AA15))*#REF!+SQRT(AA15)*(1-AB15)*#REF!+SQRT(AA15)*AB15*#REF!,
(1-SQRT(AA15))*#REF!+SQRT(AA15)*(1-AB15)*#REF!+SQRT(AA15)*AB15*#REF!)/100,5)</f>
        <v>#REF!</v>
      </c>
      <c r="AE15">
        <f t="shared" ca="1" si="13"/>
        <v>481</v>
      </c>
      <c r="AF15">
        <f t="shared" ca="1" si="14"/>
        <v>36.048099999999998</v>
      </c>
      <c r="AI15" s="4" t="s">
        <v>41</v>
      </c>
      <c r="AJ15" t="str">
        <f t="shared" si="15"/>
        <v>M2 Bradley  #804</v>
      </c>
      <c r="AL15" s="16">
        <f t="shared" ca="1" si="16"/>
        <v>602</v>
      </c>
      <c r="AM15" s="16">
        <f t="shared" ca="1" si="17"/>
        <v>47.4602</v>
      </c>
    </row>
    <row r="16" spans="1:39" x14ac:dyDescent="0.3">
      <c r="A16" s="4">
        <v>805</v>
      </c>
      <c r="B16" s="4" t="s">
        <v>56</v>
      </c>
      <c r="C16" s="4" t="s">
        <v>18</v>
      </c>
      <c r="D16" s="4" t="s">
        <v>17</v>
      </c>
      <c r="E16" s="5">
        <v>36.790399999999998</v>
      </c>
      <c r="F16" s="5">
        <v>47.580800000000004</v>
      </c>
      <c r="G16" s="6">
        <v>3.2000000000000002E-3</v>
      </c>
      <c r="H16" s="7">
        <v>270</v>
      </c>
      <c r="I16" s="4">
        <v>65</v>
      </c>
      <c r="J16" s="4">
        <v>65</v>
      </c>
      <c r="K16" s="8">
        <v>1.8</v>
      </c>
      <c r="L16" s="4">
        <v>45</v>
      </c>
      <c r="M16" s="9">
        <v>0.73</v>
      </c>
      <c r="N16" s="4">
        <v>35</v>
      </c>
      <c r="O16" s="4">
        <v>6</v>
      </c>
      <c r="U16" s="20">
        <f t="shared" ca="1" si="9"/>
        <v>0.95</v>
      </c>
      <c r="V16" s="20">
        <f t="shared" ca="1" si="9"/>
        <v>0.49</v>
      </c>
      <c r="W16" s="20">
        <f t="shared" ca="1" si="9"/>
        <v>0.41</v>
      </c>
      <c r="X16">
        <f t="shared" ca="1" si="10"/>
        <v>36.698700000000002</v>
      </c>
      <c r="Y16">
        <f t="shared" ca="1" si="11"/>
        <v>47.617400000000004</v>
      </c>
      <c r="Z16" s="19">
        <f t="shared" ca="1" si="12"/>
        <v>0.4</v>
      </c>
      <c r="AA16" s="19">
        <f t="shared" ca="1" si="12"/>
        <v>0.66</v>
      </c>
      <c r="AB16" s="19">
        <f t="shared" ca="1" si="12"/>
        <v>0.94</v>
      </c>
      <c r="AC16" t="e">
        <f ca="1">ROUND(IF(Z16 &lt;#REF!,
 (1-SQRT(AA16))*#REF! + SQRT(AA16)*(1-AB16)*#REF! + SQRT(AA16)*AB16*#REF!,
 (1-SQRT(AA16))*#REF! + SQRT(AA16)*(1-AB16)*#REF! + SQRT(AA16)*AB16*#REF!
)/100,5)</f>
        <v>#REF!</v>
      </c>
      <c r="AD16" t="e">
        <f ca="1">ROUND(IF(Z16&lt;#REF!,
(1-SQRT(AA16))*#REF!+SQRT(AA16)*(1-AB16)*#REF!+SQRT(AA16)*AB16*#REF!,
(1-SQRT(AA16))*#REF!+SQRT(AA16)*(1-AB16)*#REF!+SQRT(AA16)*AB16*#REF!)/100,5)</f>
        <v>#REF!</v>
      </c>
      <c r="AE16">
        <f t="shared" ca="1" si="13"/>
        <v>822</v>
      </c>
      <c r="AF16">
        <f t="shared" ca="1" si="14"/>
        <v>36.0822</v>
      </c>
      <c r="AI16" s="4" t="s">
        <v>41</v>
      </c>
      <c r="AJ16" t="str">
        <f t="shared" si="15"/>
        <v>M2 Bradley  #805</v>
      </c>
      <c r="AL16" s="16">
        <f t="shared" ca="1" si="16"/>
        <v>280</v>
      </c>
      <c r="AM16" s="16">
        <f t="shared" ca="1" si="17"/>
        <v>47.427999999999997</v>
      </c>
    </row>
  </sheetData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defaultRowHeight="14.4" x14ac:dyDescent="0.3"/>
  <cols>
    <col min="1" max="1" width="18" customWidth="1"/>
    <col min="2" max="2" width="55" customWidth="1"/>
  </cols>
  <sheetData>
    <row r="1" spans="1:2" ht="18" x14ac:dyDescent="0.35">
      <c r="A1" s="2"/>
    </row>
    <row r="2" spans="1:2" x14ac:dyDescent="0.3">
      <c r="A2" s="3" t="s">
        <v>19</v>
      </c>
      <c r="B2" s="3" t="s">
        <v>20</v>
      </c>
    </row>
    <row r="3" spans="1:2" x14ac:dyDescent="0.3">
      <c r="A3" t="s">
        <v>0</v>
      </c>
      <c r="B3" t="s">
        <v>21</v>
      </c>
    </row>
    <row r="4" spans="1:2" x14ac:dyDescent="0.3">
      <c r="A4" t="s">
        <v>1</v>
      </c>
      <c r="B4" t="s">
        <v>22</v>
      </c>
    </row>
    <row r="5" spans="1:2" x14ac:dyDescent="0.3">
      <c r="A5" t="s">
        <v>2</v>
      </c>
      <c r="B5" t="s">
        <v>23</v>
      </c>
    </row>
    <row r="6" spans="1:2" x14ac:dyDescent="0.3">
      <c r="A6" t="s">
        <v>3</v>
      </c>
      <c r="B6" t="s">
        <v>24</v>
      </c>
    </row>
    <row r="7" spans="1:2" x14ac:dyDescent="0.3">
      <c r="A7" t="s">
        <v>4</v>
      </c>
      <c r="B7" t="s">
        <v>25</v>
      </c>
    </row>
    <row r="8" spans="1:2" x14ac:dyDescent="0.3">
      <c r="A8" t="s">
        <v>5</v>
      </c>
      <c r="B8" t="s">
        <v>26</v>
      </c>
    </row>
    <row r="9" spans="1:2" x14ac:dyDescent="0.3">
      <c r="A9" t="s">
        <v>6</v>
      </c>
      <c r="B9" t="s">
        <v>27</v>
      </c>
    </row>
    <row r="10" spans="1:2" x14ac:dyDescent="0.3">
      <c r="A10" t="s">
        <v>7</v>
      </c>
      <c r="B10" t="s">
        <v>28</v>
      </c>
    </row>
    <row r="11" spans="1:2" x14ac:dyDescent="0.3">
      <c r="A11" t="s">
        <v>8</v>
      </c>
      <c r="B11" t="s">
        <v>29</v>
      </c>
    </row>
    <row r="12" spans="1:2" x14ac:dyDescent="0.3">
      <c r="A12" t="s">
        <v>9</v>
      </c>
      <c r="B12" t="s">
        <v>30</v>
      </c>
    </row>
    <row r="13" spans="1:2" x14ac:dyDescent="0.3">
      <c r="A13" t="s">
        <v>10</v>
      </c>
      <c r="B13" t="s">
        <v>31</v>
      </c>
    </row>
    <row r="14" spans="1:2" x14ac:dyDescent="0.3">
      <c r="A14" t="s">
        <v>11</v>
      </c>
      <c r="B14" t="s">
        <v>32</v>
      </c>
    </row>
    <row r="15" spans="1:2" x14ac:dyDescent="0.3">
      <c r="A15" t="s">
        <v>12</v>
      </c>
      <c r="B15" t="s">
        <v>33</v>
      </c>
    </row>
    <row r="16" spans="1:2" x14ac:dyDescent="0.3">
      <c r="A16" t="s">
        <v>13</v>
      </c>
      <c r="B16" t="s">
        <v>34</v>
      </c>
    </row>
    <row r="17" spans="1:2" x14ac:dyDescent="0.3">
      <c r="A17" t="s">
        <v>14</v>
      </c>
      <c r="B17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Objects</vt:lpstr>
      <vt:lpstr>Notes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vichell2011@gmail.com</cp:lastModifiedBy>
  <dcterms:created xsi:type="dcterms:W3CDTF">2025-10-26T07:20:36Z</dcterms:created>
  <dcterms:modified xsi:type="dcterms:W3CDTF">2025-11-19T14:48:45Z</dcterms:modified>
</cp:coreProperties>
</file>