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V47" i="1"/>
  <c r="W47" i="1"/>
  <c r="X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T18" i="1" s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Y53" i="1" l="1"/>
  <c r="Y207" i="1"/>
  <c r="Y166" i="1"/>
  <c r="Y33" i="1"/>
  <c r="Y185" i="1"/>
  <c r="X41" i="1"/>
  <c r="X197" i="1"/>
  <c r="X177" i="1"/>
  <c r="Y91" i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<sst xmlns="http://schemas.openxmlformats.org/spreadsheetml/2006/main" count="1220" uniqueCount="339">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</sst>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topLeftCell="A167" zoomScale="70" zoomScaleNormal="70" workbookViewId="0">
      <selection activeCell="E202" sqref="E202:F29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0.32</v>
      </c>
      <c r="V2" s="20">
        <f ca="1">RANDBETWEEN(0,100)/100</f>
        <v>0.26</v>
      </c>
      <c r="W2" s="20">
        <f ca="1">RANDBETWEEN(0,100)/100</f>
        <v>0.49</v>
      </c>
      <c r="X2">
        <f ca="1">ROUND(IF(U2 &lt; $T$9,
 (1-SQRT(V2))*$T$3 + SQRT(V2)*(1-W2)*$T$4 + SQRT(V2)*W2*$T$5,
 (1-SQRT(V2))*$T$3 + SQRT(V2)*(1-W2)*$T$5 + SQRT(V2)*W2*$T$6
)/100,5)</f>
        <v>36.598979999999997</v>
      </c>
      <c r="Y2">
        <f ca="1">ROUND(IF(U2&lt;$T$9,(1-SQRT(V2))*$S$3+SQRT(V2)*(1-W2)*$S$4+SQRT(V2)*W2*$S$5,(1-SQRT(V2))*$S$3+SQRT(V2)*(1-W2)*$S$5+SQRT(V2)*W2*$S$6)/100,5)</f>
        <v>47.624020000000002</v>
      </c>
      <c r="Z2" s="19">
        <f ca="1">RANDBETWEEN(0,100)/100</f>
        <v>0.68</v>
      </c>
      <c r="AA2" s="19">
        <f ca="1">RANDBETWEEN(0,100)/100</f>
        <v>0.13</v>
      </c>
      <c r="AB2" s="19">
        <f ca="1">RANDBETWEEN(0,100)/100</f>
        <v>0.94</v>
      </c>
      <c r="AC2">
        <f ca="1">ROUND(IF(Z2 &lt; $T$18,
 (1-SQRT(AA2))*$T$12 + SQRT(AA2)*(1-AB2)*$T$13 + SQRT(AA2)*AB2*$T$14,
 (1-SQRT(AA2))*$T$12 + SQRT(AA2)*(1-AB2)*$T$14 + SQRT(AA2)*AB2*$T$15
)/100,5)</f>
        <v>36.831969999999998</v>
      </c>
      <c r="AD2">
        <f ca="1">ROUND(IF(Z2&lt;$T$18,
(1-SQRT(AA2))*$S$12+SQRT(AA2)*(1-AB2)*$S$13+SQRT(AA2)*AB2*$S$14,
(1-SQRT(AA2))*$S$12+SQRT(AA2)*(1-AB2)*$S$14+SQRT(AA2)*AB2*$S$15)/100,5)</f>
        <v>47.698920000000001</v>
      </c>
      <c r="AE2">
        <f ca="1">RANDBETWEEN(0,10000)</f>
        <v>8934</v>
      </c>
      <c r="AF2">
        <f ca="1">36+AE2/10000</f>
        <v>36.8934</v>
      </c>
      <c r="AI2" s="10" t="s">
        <v>37</v>
      </c>
      <c r="AJ2" t="str">
        <f>CONCATENATE(AI2," #",A2)</f>
        <v>T-72B3 Tank  #1</v>
      </c>
      <c r="AL2" s="10">
        <f ca="1">RANDBETWEEN(0,1000)</f>
        <v>422</v>
      </c>
      <c r="AM2" s="10">
        <f ca="1">47.7+AL2/10000</f>
        <v>47.742200000000004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0.12</v>
      </c>
      <c r="V3" s="20">
        <f t="shared" ca="1" si="0"/>
        <v>0.8</v>
      </c>
      <c r="W3" s="20">
        <f t="shared" ca="1" si="0"/>
        <v>0.36</v>
      </c>
      <c r="X3">
        <f t="shared" ref="X3:X32" ca="1" si="1">ROUND(IF(U3 &lt; $T$9,
 (1-SQRT(V3))*$T$3 + SQRT(V3)*(1-W3)*$T$4 + SQRT(V3)*W3*$T$5,
 (1-SQRT(V3))*$T$3 + SQRT(V3)*(1-W3)*$T$5 + SQRT(V3)*W3*$T$6
)/100,5)</f>
        <v>36.574959999999997</v>
      </c>
      <c r="Y3">
        <f t="shared" ref="Y3:Y32" ca="1" si="2">ROUND(IF(U3&lt;$T$9,(1-SQRT(V3))*$S$3+SQRT(V3)*(1-W3)*$S$4+SQRT(V3)*W3*$S$5,(1-SQRT(V3))*$S$3+SQRT(V3)*(1-W3)*$S$5+SQRT(V3)*W3*$S$6)/100,5)</f>
        <v>47.578360000000004</v>
      </c>
      <c r="Z3" s="19">
        <f t="shared" ref="Z3:AB33" ca="1" si="3">RANDBETWEEN(0,100)/100</f>
        <v>0.21</v>
      </c>
      <c r="AA3" s="19">
        <f t="shared" ca="1" si="3"/>
        <v>0.62</v>
      </c>
      <c r="AB3" s="19">
        <f t="shared" ca="1" si="3"/>
        <v>0.98</v>
      </c>
      <c r="AC3">
        <f t="shared" ref="AC3:AC32" ca="1" si="4">ROUND(IF(Z3 &lt; $T$18,
 (1-SQRT(AA3))*$T$12 + SQRT(AA3)*(1-AB3)*$T$13 + SQRT(AA3)*AB3*$T$14,
 (1-SQRT(AA3))*$T$12 + SQRT(AA3)*(1-AB3)*$T$14 + SQRT(AA3)*AB3*$T$15
)/100,5)</f>
        <v>36.811419999999998</v>
      </c>
      <c r="AD3">
        <f t="shared" ref="AD3:AD32" ca="1" si="5">ROUND(IF(Z3&lt;$T$18,
(1-SQRT(AA3))*$S$12+SQRT(AA3)*(1-AB3)*$S$13+SQRT(AA3)*AB3*$S$14,
(1-SQRT(AA3))*$S$12+SQRT(AA3)*(1-AB3)*$S$14+SQRT(AA3)*AB3*$S$15)/100,5)</f>
        <v>47.660629999999998</v>
      </c>
      <c r="AE3">
        <f t="shared" ref="AE3:AE66" ca="1" si="6">RANDBETWEEN(0,10000)</f>
        <v>5146</v>
      </c>
      <c r="AF3">
        <f t="shared" ref="AF3:AF66" ca="1" si="7">36+AE3/10000</f>
        <v>36.514600000000002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117</v>
      </c>
      <c r="AM3" s="10">
        <f t="shared" ref="AM3:AM66" ca="1" si="10">47.7+AL3/10000</f>
        <v>47.7117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0.26</v>
      </c>
      <c r="V4" s="20">
        <f t="shared" ca="1" si="0"/>
        <v>0.49</v>
      </c>
      <c r="W4" s="20">
        <f t="shared" ca="1" si="0"/>
        <v>0.6</v>
      </c>
      <c r="X4">
        <f t="shared" ca="1" si="1"/>
        <v>36.613999999999997</v>
      </c>
      <c r="Y4">
        <f t="shared" ca="1" si="2"/>
        <v>47.588000000000001</v>
      </c>
      <c r="Z4" s="19">
        <f t="shared" ca="1" si="3"/>
        <v>0.43</v>
      </c>
      <c r="AA4" s="19">
        <f t="shared" ca="1" si="3"/>
        <v>0.92</v>
      </c>
      <c r="AB4" s="19">
        <f t="shared" ca="1" si="3"/>
        <v>0.9</v>
      </c>
      <c r="AC4">
        <f t="shared" ca="1" si="4"/>
        <v>36.806840000000001</v>
      </c>
      <c r="AD4">
        <f t="shared" ca="1" si="5"/>
        <v>47.65204</v>
      </c>
      <c r="AE4">
        <f t="shared" ca="1" si="6"/>
        <v>8770</v>
      </c>
      <c r="AF4">
        <f t="shared" ca="1" si="7"/>
        <v>36.877000000000002</v>
      </c>
      <c r="AI4" s="10" t="s">
        <v>38</v>
      </c>
      <c r="AJ4" t="str">
        <f t="shared" si="8"/>
        <v>T-80BVM Tank  #3</v>
      </c>
      <c r="AL4" s="10">
        <f t="shared" ca="1" si="9"/>
        <v>417</v>
      </c>
      <c r="AM4" s="10">
        <f t="shared" ca="1" si="10"/>
        <v>47.741700000000002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0.81</v>
      </c>
      <c r="V5" s="20">
        <f t="shared" ca="1" si="0"/>
        <v>0.52</v>
      </c>
      <c r="W5" s="20">
        <f t="shared" ca="1" si="0"/>
        <v>0.79</v>
      </c>
      <c r="X5">
        <f t="shared" ca="1" si="1"/>
        <v>36.729080000000003</v>
      </c>
      <c r="Y5">
        <f t="shared" ca="1" si="2"/>
        <v>47.669710000000002</v>
      </c>
      <c r="Z5" s="19">
        <f t="shared" ca="1" si="3"/>
        <v>0.57999999999999996</v>
      </c>
      <c r="AA5" s="19">
        <f t="shared" ca="1" si="3"/>
        <v>0.82</v>
      </c>
      <c r="AB5" s="19">
        <f t="shared" ca="1" si="3"/>
        <v>7.0000000000000007E-2</v>
      </c>
      <c r="AC5">
        <f t="shared" ca="1" si="4"/>
        <v>36.804720000000003</v>
      </c>
      <c r="AD5">
        <f t="shared" ca="1" si="5"/>
        <v>47.657890000000002</v>
      </c>
      <c r="AE5">
        <f t="shared" ca="1" si="6"/>
        <v>4064</v>
      </c>
      <c r="AF5">
        <f t="shared" ca="1" si="7"/>
        <v>36.406399999999998</v>
      </c>
      <c r="AI5" s="10" t="s">
        <v>37</v>
      </c>
      <c r="AJ5" t="str">
        <f t="shared" si="8"/>
        <v>T-72B3 Tank  #4</v>
      </c>
      <c r="AL5" s="10">
        <f t="shared" ca="1" si="9"/>
        <v>536</v>
      </c>
      <c r="AM5" s="10">
        <f t="shared" ca="1" si="10"/>
        <v>47.753600000000006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0.86</v>
      </c>
      <c r="V6" s="20">
        <f t="shared" ca="1" si="0"/>
        <v>0.98</v>
      </c>
      <c r="W6" s="20">
        <f t="shared" ca="1" si="0"/>
        <v>0.95</v>
      </c>
      <c r="X6">
        <f t="shared" ca="1" si="1"/>
        <v>36.793039999999998</v>
      </c>
      <c r="Y6">
        <f t="shared" ca="1" si="2"/>
        <v>47.690100000000001</v>
      </c>
      <c r="Z6" s="19">
        <f t="shared" ca="1" si="3"/>
        <v>0.33</v>
      </c>
      <c r="AA6" s="19">
        <f t="shared" ca="1" si="3"/>
        <v>0.96</v>
      </c>
      <c r="AB6" s="19">
        <f t="shared" ca="1" si="3"/>
        <v>0.82</v>
      </c>
      <c r="AC6">
        <f t="shared" ca="1" si="4"/>
        <v>36.809829999999998</v>
      </c>
      <c r="AD6">
        <f t="shared" ca="1" si="5"/>
        <v>47.651009999999999</v>
      </c>
      <c r="AE6">
        <f t="shared" ca="1" si="6"/>
        <v>3680</v>
      </c>
      <c r="AF6">
        <f t="shared" ca="1" si="7"/>
        <v>36.368000000000002</v>
      </c>
      <c r="AI6" s="10" t="s">
        <v>38</v>
      </c>
      <c r="AJ6" t="str">
        <f t="shared" si="8"/>
        <v>T-80BVM Tank  #5</v>
      </c>
      <c r="AL6" s="10">
        <f t="shared" ca="1" si="9"/>
        <v>412</v>
      </c>
      <c r="AM6" s="10">
        <f t="shared" ca="1" si="10"/>
        <v>47.741200000000006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0.36</v>
      </c>
      <c r="V7" s="20">
        <f t="shared" ca="1" si="0"/>
        <v>0.86</v>
      </c>
      <c r="W7" s="20">
        <f t="shared" ca="1" si="0"/>
        <v>0.89</v>
      </c>
      <c r="X7">
        <f t="shared" ca="1" si="1"/>
        <v>36.672330000000002</v>
      </c>
      <c r="Y7">
        <f t="shared" ca="1" si="2"/>
        <v>47.524729999999998</v>
      </c>
      <c r="Z7" s="19">
        <f t="shared" ca="1" si="3"/>
        <v>0.62</v>
      </c>
      <c r="AA7" s="19">
        <f t="shared" ca="1" si="3"/>
        <v>0.34</v>
      </c>
      <c r="AB7" s="19">
        <f t="shared" ca="1" si="3"/>
        <v>0.45</v>
      </c>
      <c r="AC7">
        <f t="shared" ca="1" si="4"/>
        <v>36.82085</v>
      </c>
      <c r="AD7">
        <f t="shared" ca="1" si="5"/>
        <v>47.683959999999999</v>
      </c>
      <c r="AE7">
        <f t="shared" ca="1" si="6"/>
        <v>2092</v>
      </c>
      <c r="AF7">
        <f t="shared" ca="1" si="7"/>
        <v>36.209200000000003</v>
      </c>
      <c r="AI7" s="10" t="s">
        <v>39</v>
      </c>
      <c r="AJ7" t="str">
        <f t="shared" si="8"/>
        <v>BMP-2  #6</v>
      </c>
      <c r="AL7" s="10">
        <f t="shared" ca="1" si="9"/>
        <v>709</v>
      </c>
      <c r="AM7" s="10">
        <f t="shared" ca="1" si="10"/>
        <v>47.770900000000005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0.74</v>
      </c>
      <c r="V8" s="20">
        <f t="shared" ca="1" si="0"/>
        <v>0.36</v>
      </c>
      <c r="W8" s="20">
        <f t="shared" ca="1" si="0"/>
        <v>0.36</v>
      </c>
      <c r="X8">
        <f t="shared" ca="1" si="1"/>
        <v>36.681600000000003</v>
      </c>
      <c r="Y8">
        <f t="shared" ca="1" si="2"/>
        <v>47.623199999999997</v>
      </c>
      <c r="Z8" s="19">
        <f t="shared" ca="1" si="3"/>
        <v>0.99</v>
      </c>
      <c r="AA8" s="19">
        <f t="shared" ca="1" si="3"/>
        <v>0.04</v>
      </c>
      <c r="AB8" s="19">
        <f t="shared" ca="1" si="3"/>
        <v>0.26</v>
      </c>
      <c r="AC8">
        <f t="shared" ca="1" si="4"/>
        <v>36.840000000000003</v>
      </c>
      <c r="AD8">
        <f t="shared" ca="1" si="5"/>
        <v>47.692599999999999</v>
      </c>
      <c r="AE8">
        <f t="shared" ca="1" si="6"/>
        <v>8649</v>
      </c>
      <c r="AF8">
        <f t="shared" ca="1" si="7"/>
        <v>36.864899999999999</v>
      </c>
      <c r="AI8" s="10" t="s">
        <v>39</v>
      </c>
      <c r="AJ8" t="str">
        <f t="shared" si="8"/>
        <v>BMP-2  #7</v>
      </c>
      <c r="AL8" s="10">
        <f t="shared" ca="1" si="9"/>
        <v>240</v>
      </c>
      <c r="AM8" s="10">
        <f t="shared" ca="1" si="10"/>
        <v>47.724000000000004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0.95</v>
      </c>
      <c r="V9" s="20">
        <f t="shared" ca="1" si="0"/>
        <v>0.53</v>
      </c>
      <c r="W9" s="20">
        <f t="shared" ca="1" si="0"/>
        <v>0.44</v>
      </c>
      <c r="X9">
        <f t="shared" ca="1" si="1"/>
        <v>36.704830000000001</v>
      </c>
      <c r="Y9">
        <f t="shared" ca="1" si="2"/>
        <v>47.618459999999999</v>
      </c>
      <c r="Z9" s="19">
        <f t="shared" ca="1" si="3"/>
        <v>0.89</v>
      </c>
      <c r="AA9" s="19">
        <f t="shared" ca="1" si="3"/>
        <v>0.66</v>
      </c>
      <c r="AB9" s="19">
        <f t="shared" ca="1" si="3"/>
        <v>0.52</v>
      </c>
      <c r="AC9">
        <f t="shared" ca="1" si="4"/>
        <v>36.809379999999997</v>
      </c>
      <c r="AD9">
        <f t="shared" ca="1" si="5"/>
        <v>47.680500000000002</v>
      </c>
      <c r="AE9">
        <f t="shared" ca="1" si="6"/>
        <v>5755</v>
      </c>
      <c r="AF9">
        <f t="shared" ca="1" si="7"/>
        <v>36.575499999999998</v>
      </c>
      <c r="AI9" s="10" t="s">
        <v>40</v>
      </c>
      <c r="AJ9" t="str">
        <f t="shared" si="8"/>
        <v>BTR-80  #8</v>
      </c>
      <c r="AL9" s="10">
        <f t="shared" ca="1" si="9"/>
        <v>717</v>
      </c>
      <c r="AM9" s="10">
        <f t="shared" ca="1" si="10"/>
        <v>47.771700000000003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0.49</v>
      </c>
      <c r="V10" s="20">
        <f t="shared" ca="1" si="0"/>
        <v>0.78</v>
      </c>
      <c r="W10" s="20">
        <f t="shared" ca="1" si="0"/>
        <v>0.2</v>
      </c>
      <c r="X10">
        <f t="shared" ca="1" si="1"/>
        <v>36.705979999999997</v>
      </c>
      <c r="Y10">
        <f t="shared" ca="1" si="2"/>
        <v>47.558689999999999</v>
      </c>
      <c r="Z10" s="19">
        <f t="shared" ca="1" si="3"/>
        <v>7.0000000000000007E-2</v>
      </c>
      <c r="AA10" s="19">
        <f t="shared" ca="1" si="3"/>
        <v>0.51</v>
      </c>
      <c r="AB10" s="19">
        <f t="shared" ca="1" si="3"/>
        <v>0.25</v>
      </c>
      <c r="AC10">
        <f t="shared" ca="1" si="4"/>
        <v>36.841070000000002</v>
      </c>
      <c r="AD10">
        <f t="shared" ca="1" si="5"/>
        <v>47.664290000000001</v>
      </c>
      <c r="AE10">
        <f t="shared" ca="1" si="6"/>
        <v>9465</v>
      </c>
      <c r="AF10">
        <f t="shared" ca="1" si="7"/>
        <v>36.9465</v>
      </c>
      <c r="AI10" s="10" t="s">
        <v>39</v>
      </c>
      <c r="AJ10" t="str">
        <f t="shared" si="8"/>
        <v>BMP-2  #9</v>
      </c>
      <c r="AL10" s="10">
        <f t="shared" ca="1" si="9"/>
        <v>539</v>
      </c>
      <c r="AM10" s="10">
        <f t="shared" ca="1" si="10"/>
        <v>47.753900000000002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0.53</v>
      </c>
      <c r="V11" s="20">
        <f t="shared" ca="1" si="0"/>
        <v>0.06</v>
      </c>
      <c r="W11" s="20">
        <f t="shared" ca="1" si="0"/>
        <v>0.62</v>
      </c>
      <c r="X11">
        <f t="shared" ca="1" si="1"/>
        <v>36.639679999999998</v>
      </c>
      <c r="Y11">
        <f t="shared" ca="1" si="2"/>
        <v>47.681379999999997</v>
      </c>
      <c r="Z11" s="19">
        <f t="shared" ca="1" si="3"/>
        <v>0.88</v>
      </c>
      <c r="AA11" s="19">
        <f t="shared" ca="1" si="3"/>
        <v>0.08</v>
      </c>
      <c r="AB11" s="19">
        <f t="shared" ca="1" si="3"/>
        <v>0.99</v>
      </c>
      <c r="AC11">
        <f t="shared" ca="1" si="4"/>
        <v>36.835859999999997</v>
      </c>
      <c r="AD11">
        <f t="shared" ca="1" si="5"/>
        <v>47.699860000000001</v>
      </c>
      <c r="AE11">
        <f t="shared" ca="1" si="6"/>
        <v>8100</v>
      </c>
      <c r="AF11">
        <f t="shared" ca="1" si="7"/>
        <v>36.81</v>
      </c>
      <c r="AI11" s="10" t="s">
        <v>39</v>
      </c>
      <c r="AJ11" t="str">
        <f t="shared" si="8"/>
        <v>BMP-2  #10</v>
      </c>
      <c r="AL11" s="10">
        <f t="shared" ca="1" si="9"/>
        <v>9</v>
      </c>
      <c r="AM11" s="10">
        <f t="shared" ca="1" si="10"/>
        <v>47.700900000000004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4770</v>
      </c>
      <c r="T12" s="21">
        <v>3685</v>
      </c>
      <c r="U12" s="20">
        <f t="shared" ca="1" si="0"/>
        <v>0.71</v>
      </c>
      <c r="V12" s="20">
        <f t="shared" ca="1" si="0"/>
        <v>0.11</v>
      </c>
      <c r="W12" s="20">
        <f t="shared" ca="1" si="0"/>
        <v>0.55000000000000004</v>
      </c>
      <c r="X12">
        <f t="shared" ca="1" si="1"/>
        <v>36.651409999999998</v>
      </c>
      <c r="Y12">
        <f t="shared" ca="1" si="2"/>
        <v>47.67015</v>
      </c>
      <c r="Z12" s="19">
        <f t="shared" ca="1" si="3"/>
        <v>0.56999999999999995</v>
      </c>
      <c r="AA12" s="19">
        <f t="shared" ca="1" si="3"/>
        <v>0.62</v>
      </c>
      <c r="AB12" s="19">
        <f t="shared" ca="1" si="3"/>
        <v>0.9</v>
      </c>
      <c r="AC12">
        <f t="shared" ca="1" si="4"/>
        <v>36.810630000000003</v>
      </c>
      <c r="AD12">
        <f t="shared" ca="1" si="5"/>
        <v>47.696060000000003</v>
      </c>
      <c r="AE12">
        <f t="shared" ca="1" si="6"/>
        <v>9493</v>
      </c>
      <c r="AF12">
        <f t="shared" ca="1" si="7"/>
        <v>36.949300000000001</v>
      </c>
      <c r="AI12" s="10" t="s">
        <v>40</v>
      </c>
      <c r="AJ12" t="str">
        <f t="shared" si="8"/>
        <v>BTR-80  #11</v>
      </c>
      <c r="AL12" s="10">
        <f t="shared" ca="1" si="9"/>
        <v>450</v>
      </c>
      <c r="AM12" s="10">
        <f t="shared" ca="1" si="10"/>
        <v>47.745000000000005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4765</v>
      </c>
      <c r="T13" s="21">
        <v>3685</v>
      </c>
      <c r="U13" s="20">
        <f t="shared" ca="1" si="0"/>
        <v>0.06</v>
      </c>
      <c r="V13" s="20">
        <f t="shared" ca="1" si="0"/>
        <v>0.48</v>
      </c>
      <c r="W13" s="20">
        <f t="shared" ca="1" si="0"/>
        <v>0.23</v>
      </c>
      <c r="X13">
        <f t="shared" ca="1" si="1"/>
        <v>36.56259</v>
      </c>
      <c r="Y13">
        <f t="shared" ca="1" si="2"/>
        <v>47.614780000000003</v>
      </c>
      <c r="Z13" s="19">
        <f t="shared" ca="1" si="3"/>
        <v>0.4</v>
      </c>
      <c r="AA13" s="19">
        <f t="shared" ca="1" si="3"/>
        <v>0.37</v>
      </c>
      <c r="AB13" s="19">
        <f t="shared" ca="1" si="3"/>
        <v>0.81</v>
      </c>
      <c r="AC13">
        <f t="shared" ca="1" si="4"/>
        <v>36.825360000000003</v>
      </c>
      <c r="AD13">
        <f t="shared" ca="1" si="5"/>
        <v>47.669589999999999</v>
      </c>
      <c r="AE13">
        <f t="shared" ca="1" si="6"/>
        <v>1698</v>
      </c>
      <c r="AF13">
        <f t="shared" ca="1" si="7"/>
        <v>36.169800000000002</v>
      </c>
      <c r="AI13" s="10" t="s">
        <v>39</v>
      </c>
      <c r="AJ13" t="str">
        <f t="shared" si="8"/>
        <v>BMP-2  #12</v>
      </c>
      <c r="AL13" s="10">
        <f t="shared" ca="1" si="9"/>
        <v>191</v>
      </c>
      <c r="AM13" s="10">
        <f t="shared" ca="1" si="10"/>
        <v>47.719100000000005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4765</v>
      </c>
      <c r="T14" s="21">
        <v>3680</v>
      </c>
      <c r="U14" s="20">
        <f t="shared" ca="1" si="0"/>
        <v>0.11</v>
      </c>
      <c r="V14" s="20">
        <f t="shared" ca="1" si="0"/>
        <v>0.94</v>
      </c>
      <c r="W14" s="20">
        <f t="shared" ca="1" si="0"/>
        <v>0.48</v>
      </c>
      <c r="X14">
        <f t="shared" ca="1" si="1"/>
        <v>36.596119999999999</v>
      </c>
      <c r="Y14">
        <f t="shared" ca="1" si="2"/>
        <v>47.556510000000003</v>
      </c>
      <c r="Z14" s="19">
        <f t="shared" ca="1" si="3"/>
        <v>0.62</v>
      </c>
      <c r="AA14" s="19">
        <f t="shared" ca="1" si="3"/>
        <v>0.34</v>
      </c>
      <c r="AB14" s="19">
        <f t="shared" ca="1" si="3"/>
        <v>0.68</v>
      </c>
      <c r="AC14">
        <f t="shared" ca="1" si="4"/>
        <v>36.82085</v>
      </c>
      <c r="AD14">
        <f t="shared" ca="1" si="5"/>
        <v>47.690669999999997</v>
      </c>
      <c r="AE14">
        <f t="shared" ca="1" si="6"/>
        <v>2569</v>
      </c>
      <c r="AF14">
        <f t="shared" ca="1" si="7"/>
        <v>36.256900000000002</v>
      </c>
      <c r="AI14" s="10" t="s">
        <v>39</v>
      </c>
      <c r="AJ14" t="str">
        <f t="shared" si="8"/>
        <v>BMP-2  #13</v>
      </c>
      <c r="AL14" s="10">
        <f t="shared" ca="1" si="9"/>
        <v>150</v>
      </c>
      <c r="AM14" s="10">
        <f t="shared" ca="1" si="10"/>
        <v>47.715000000000003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0.24</v>
      </c>
      <c r="V15" s="20">
        <f t="shared" ca="1" si="0"/>
        <v>0.77</v>
      </c>
      <c r="W15" s="20">
        <f t="shared" ca="1" si="0"/>
        <v>0.44</v>
      </c>
      <c r="X15">
        <f t="shared" ca="1" si="1"/>
        <v>36.589469999999999</v>
      </c>
      <c r="Y15">
        <f t="shared" ca="1" si="2"/>
        <v>47.573639999999997</v>
      </c>
      <c r="Z15" s="19">
        <f t="shared" ca="1" si="3"/>
        <v>0.43</v>
      </c>
      <c r="AA15" s="19">
        <f t="shared" ca="1" si="3"/>
        <v>0.27</v>
      </c>
      <c r="AB15" s="19">
        <f t="shared" ca="1" si="3"/>
        <v>0.56000000000000005</v>
      </c>
      <c r="AC15">
        <f t="shared" ca="1" si="4"/>
        <v>36.835450000000002</v>
      </c>
      <c r="AD15">
        <f t="shared" ca="1" si="5"/>
        <v>47.674019999999999</v>
      </c>
      <c r="AE15">
        <f t="shared" ca="1" si="6"/>
        <v>120</v>
      </c>
      <c r="AF15">
        <f t="shared" ca="1" si="7"/>
        <v>36.012</v>
      </c>
      <c r="AI15" s="10" t="s">
        <v>40</v>
      </c>
      <c r="AJ15" t="str">
        <f t="shared" si="8"/>
        <v>BTR-80  #14</v>
      </c>
      <c r="AL15" s="10">
        <f t="shared" ca="1" si="9"/>
        <v>125</v>
      </c>
      <c r="AM15" s="10">
        <f t="shared" ca="1" si="10"/>
        <v>47.712500000000006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25</v>
      </c>
      <c r="U16" s="20">
        <f t="shared" ca="1" si="0"/>
        <v>0.22</v>
      </c>
      <c r="V16" s="20">
        <f t="shared" ca="1" si="0"/>
        <v>0.14000000000000001</v>
      </c>
      <c r="W16" s="20">
        <f t="shared" ca="1" si="0"/>
        <v>0.86</v>
      </c>
      <c r="X16">
        <f t="shared" ca="1" si="1"/>
        <v>36.626939999999998</v>
      </c>
      <c r="Y16">
        <f t="shared" ca="1" si="2"/>
        <v>47.630409999999998</v>
      </c>
      <c r="Z16" s="19">
        <f t="shared" ca="1" si="3"/>
        <v>0.25</v>
      </c>
      <c r="AA16" s="19">
        <f t="shared" ca="1" si="3"/>
        <v>0.25</v>
      </c>
      <c r="AB16" s="19">
        <f t="shared" ca="1" si="3"/>
        <v>0.21</v>
      </c>
      <c r="AC16">
        <f t="shared" ca="1" si="4"/>
        <v>36.844749999999998</v>
      </c>
      <c r="AD16">
        <f t="shared" ca="1" si="5"/>
        <v>47.674999999999997</v>
      </c>
      <c r="AE16">
        <f t="shared" ca="1" si="6"/>
        <v>9126</v>
      </c>
      <c r="AF16">
        <f t="shared" ca="1" si="7"/>
        <v>36.912599999999998</v>
      </c>
      <c r="AI16" s="10" t="s">
        <v>39</v>
      </c>
      <c r="AJ16" t="str">
        <f t="shared" si="8"/>
        <v>BMP-2  #15</v>
      </c>
      <c r="AL16" s="10">
        <f t="shared" ca="1" si="9"/>
        <v>909</v>
      </c>
      <c r="AM16" s="10">
        <f t="shared" ca="1" si="10"/>
        <v>47.790900000000001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25.000000000002274</v>
      </c>
      <c r="U17" s="20">
        <f t="shared" ca="1" si="0"/>
        <v>0.45</v>
      </c>
      <c r="V17" s="20">
        <f t="shared" ca="1" si="0"/>
        <v>0.85</v>
      </c>
      <c r="W17" s="20">
        <f t="shared" ca="1" si="0"/>
        <v>0</v>
      </c>
      <c r="X17">
        <f t="shared" ca="1" si="1"/>
        <v>36.6922</v>
      </c>
      <c r="Y17">
        <f t="shared" ca="1" si="2"/>
        <v>47.515610000000002</v>
      </c>
      <c r="Z17" s="19">
        <f t="shared" ca="1" si="3"/>
        <v>0.94</v>
      </c>
      <c r="AA17" s="19">
        <f t="shared" ca="1" si="3"/>
        <v>0.1</v>
      </c>
      <c r="AB17" s="19">
        <f t="shared" ca="1" si="3"/>
        <v>0.25</v>
      </c>
      <c r="AC17">
        <f t="shared" ca="1" si="4"/>
        <v>36.83419</v>
      </c>
      <c r="AD17">
        <f t="shared" ca="1" si="5"/>
        <v>47.688139999999997</v>
      </c>
      <c r="AE17">
        <f t="shared" ca="1" si="6"/>
        <v>9149</v>
      </c>
      <c r="AF17">
        <f t="shared" ca="1" si="7"/>
        <v>36.914900000000003</v>
      </c>
      <c r="AI17" s="10" t="s">
        <v>39</v>
      </c>
      <c r="AJ17" t="str">
        <f t="shared" si="8"/>
        <v>BMP-2  #16</v>
      </c>
      <c r="AL17" s="10">
        <f t="shared" ca="1" si="9"/>
        <v>873</v>
      </c>
      <c r="AM17" s="10">
        <f t="shared" ca="1" si="10"/>
        <v>47.787300000000002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0.49999999999997724</v>
      </c>
      <c r="U18" s="20">
        <f t="shared" ca="1" si="0"/>
        <v>0.73</v>
      </c>
      <c r="V18" s="20">
        <f t="shared" ca="1" si="0"/>
        <v>0.52</v>
      </c>
      <c r="W18" s="20">
        <f t="shared" ca="1" si="0"/>
        <v>0.96</v>
      </c>
      <c r="X18">
        <f t="shared" ca="1" si="1"/>
        <v>36.741340000000001</v>
      </c>
      <c r="Y18">
        <f t="shared" ca="1" si="2"/>
        <v>47.694229999999997</v>
      </c>
      <c r="Z18" s="19">
        <f t="shared" ca="1" si="3"/>
        <v>0.41</v>
      </c>
      <c r="AA18" s="19">
        <f t="shared" ca="1" si="3"/>
        <v>0.19</v>
      </c>
      <c r="AB18" s="19">
        <f t="shared" ca="1" si="3"/>
        <v>0.28999999999999998</v>
      </c>
      <c r="AC18">
        <f t="shared" ca="1" si="4"/>
        <v>36.843679999999999</v>
      </c>
      <c r="AD18">
        <f t="shared" ca="1" si="5"/>
        <v>47.67821</v>
      </c>
      <c r="AE18">
        <f t="shared" ca="1" si="6"/>
        <v>8727</v>
      </c>
      <c r="AF18">
        <f t="shared" ca="1" si="7"/>
        <v>36.872700000000002</v>
      </c>
      <c r="AI18" s="10" t="s">
        <v>40</v>
      </c>
      <c r="AJ18" t="str">
        <f t="shared" si="8"/>
        <v>BTR-80  #17</v>
      </c>
      <c r="AL18" s="10">
        <f t="shared" ca="1" si="9"/>
        <v>195</v>
      </c>
      <c r="AM18" s="10">
        <f t="shared" ca="1" si="10"/>
        <v>47.719500000000004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0.69</v>
      </c>
      <c r="V19" s="20">
        <f t="shared" ca="1" si="0"/>
        <v>0.23</v>
      </c>
      <c r="W19" s="20">
        <f t="shared" ca="1" si="0"/>
        <v>0.76</v>
      </c>
      <c r="X19">
        <f t="shared" ca="1" si="1"/>
        <v>36.68441</v>
      </c>
      <c r="Y19">
        <f t="shared" ca="1" si="2"/>
        <v>47.67698</v>
      </c>
      <c r="Z19" s="19">
        <f t="shared" ca="1" si="3"/>
        <v>1</v>
      </c>
      <c r="AA19" s="19">
        <f t="shared" ca="1" si="3"/>
        <v>0.1</v>
      </c>
      <c r="AB19" s="19">
        <f t="shared" ca="1" si="3"/>
        <v>0.39</v>
      </c>
      <c r="AC19">
        <f t="shared" ca="1" si="4"/>
        <v>36.83419</v>
      </c>
      <c r="AD19">
        <f t="shared" ca="1" si="5"/>
        <v>47.690359999999998</v>
      </c>
      <c r="AE19">
        <f t="shared" ca="1" si="6"/>
        <v>2892</v>
      </c>
      <c r="AF19">
        <f t="shared" ca="1" si="7"/>
        <v>36.289200000000001</v>
      </c>
      <c r="AI19" s="10" t="s">
        <v>41</v>
      </c>
      <c r="AJ19" t="str">
        <f t="shared" si="8"/>
        <v>Infantry Squad  #18</v>
      </c>
      <c r="AL19" s="10">
        <f t="shared" ca="1" si="9"/>
        <v>332</v>
      </c>
      <c r="AM19" s="10">
        <f t="shared" ca="1" si="10"/>
        <v>47.733200000000004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0.52</v>
      </c>
      <c r="V20" s="20">
        <f t="shared" ca="1" si="0"/>
        <v>0.6</v>
      </c>
      <c r="W20" s="20">
        <f t="shared" ca="1" si="0"/>
        <v>0.59</v>
      </c>
      <c r="X20">
        <f t="shared" ca="1" si="1"/>
        <v>36.72316</v>
      </c>
      <c r="Y20">
        <f t="shared" ca="1" si="2"/>
        <v>47.636479999999999</v>
      </c>
      <c r="Z20" s="19">
        <f t="shared" ca="1" si="3"/>
        <v>0.99</v>
      </c>
      <c r="AA20" s="19">
        <f t="shared" ca="1" si="3"/>
        <v>0.59</v>
      </c>
      <c r="AB20" s="19">
        <f t="shared" ca="1" si="3"/>
        <v>0.79</v>
      </c>
      <c r="AC20">
        <f t="shared" ca="1" si="4"/>
        <v>36.811590000000002</v>
      </c>
      <c r="AD20">
        <f t="shared" ca="1" si="5"/>
        <v>47.691929999999999</v>
      </c>
      <c r="AE20">
        <f t="shared" ca="1" si="6"/>
        <v>4589</v>
      </c>
      <c r="AF20">
        <f t="shared" ca="1" si="7"/>
        <v>36.4589</v>
      </c>
      <c r="AI20" s="10" t="s">
        <v>41</v>
      </c>
      <c r="AJ20" t="str">
        <f t="shared" si="8"/>
        <v>Infantry Squad  #19</v>
      </c>
      <c r="AL20" s="10">
        <f t="shared" ca="1" si="9"/>
        <v>308</v>
      </c>
      <c r="AM20" s="10">
        <f t="shared" ca="1" si="10"/>
        <v>47.730800000000002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0.71</v>
      </c>
      <c r="V21" s="20">
        <f t="shared" ca="1" si="0"/>
        <v>0.22</v>
      </c>
      <c r="W21" s="20">
        <f t="shared" ca="1" si="0"/>
        <v>0.28000000000000003</v>
      </c>
      <c r="X21">
        <f t="shared" ca="1" si="1"/>
        <v>36.660040000000002</v>
      </c>
      <c r="Y21">
        <f t="shared" ca="1" si="2"/>
        <v>47.632460000000002</v>
      </c>
      <c r="Z21" s="19">
        <f t="shared" ca="1" si="3"/>
        <v>0.41</v>
      </c>
      <c r="AA21" s="19">
        <f t="shared" ca="1" si="3"/>
        <v>0.27</v>
      </c>
      <c r="AB21" s="19">
        <f t="shared" ca="1" si="3"/>
        <v>0.64</v>
      </c>
      <c r="AC21">
        <f t="shared" ca="1" si="4"/>
        <v>36.833370000000002</v>
      </c>
      <c r="AD21">
        <f t="shared" ca="1" si="5"/>
        <v>47.674019999999999</v>
      </c>
      <c r="AE21">
        <f t="shared" ca="1" si="6"/>
        <v>6076</v>
      </c>
      <c r="AF21">
        <f t="shared" ca="1" si="7"/>
        <v>36.607599999999998</v>
      </c>
      <c r="AI21" s="10" t="s">
        <v>41</v>
      </c>
      <c r="AJ21" t="str">
        <f t="shared" si="8"/>
        <v>Infantry Squad  #20</v>
      </c>
      <c r="AL21" s="10">
        <f t="shared" ca="1" si="9"/>
        <v>701</v>
      </c>
      <c r="AM21" s="10">
        <f t="shared" ca="1" si="10"/>
        <v>47.770099999999999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0.63</v>
      </c>
      <c r="V22" s="20">
        <f t="shared" ca="1" si="0"/>
        <v>0.64</v>
      </c>
      <c r="W22" s="20">
        <f t="shared" ca="1" si="0"/>
        <v>0.69</v>
      </c>
      <c r="X22">
        <f t="shared" ca="1" si="1"/>
        <v>36.735199999999999</v>
      </c>
      <c r="Y22">
        <f t="shared" ca="1" si="2"/>
        <v>47.650399999999998</v>
      </c>
      <c r="Z22" s="19">
        <f t="shared" ca="1" si="3"/>
        <v>0.01</v>
      </c>
      <c r="AA22" s="19">
        <f t="shared" ca="1" si="3"/>
        <v>0.54</v>
      </c>
      <c r="AB22" s="19">
        <f t="shared" ca="1" si="3"/>
        <v>0.08</v>
      </c>
      <c r="AC22">
        <f t="shared" ca="1" si="4"/>
        <v>36.847059999999999</v>
      </c>
      <c r="AD22">
        <f t="shared" ca="1" si="5"/>
        <v>47.663260000000001</v>
      </c>
      <c r="AE22">
        <f t="shared" ca="1" si="6"/>
        <v>2196</v>
      </c>
      <c r="AF22">
        <f t="shared" ca="1" si="7"/>
        <v>36.2196</v>
      </c>
      <c r="AI22" s="10" t="s">
        <v>37</v>
      </c>
      <c r="AJ22" t="str">
        <f t="shared" si="8"/>
        <v>T-72B3 Tank  #21</v>
      </c>
      <c r="AL22" s="10">
        <f t="shared" ca="1" si="9"/>
        <v>778</v>
      </c>
      <c r="AM22" s="10">
        <f t="shared" ca="1" si="10"/>
        <v>47.777800000000006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0.95</v>
      </c>
      <c r="V23" s="20">
        <f t="shared" ca="1" si="0"/>
        <v>0.24</v>
      </c>
      <c r="W23" s="20">
        <f t="shared" ca="1" si="0"/>
        <v>0.09</v>
      </c>
      <c r="X23">
        <f t="shared" ca="1" si="1"/>
        <v>36.653399999999998</v>
      </c>
      <c r="Y23">
        <f t="shared" ca="1" si="2"/>
        <v>47.610840000000003</v>
      </c>
      <c r="Z23" s="19">
        <f t="shared" ca="1" si="3"/>
        <v>0.19</v>
      </c>
      <c r="AA23" s="19">
        <f t="shared" ca="1" si="3"/>
        <v>0.45</v>
      </c>
      <c r="AB23" s="19">
        <f t="shared" ca="1" si="3"/>
        <v>0.74</v>
      </c>
      <c r="AC23">
        <f t="shared" ca="1" si="4"/>
        <v>36.825180000000003</v>
      </c>
      <c r="AD23">
        <f t="shared" ca="1" si="5"/>
        <v>47.666460000000001</v>
      </c>
      <c r="AE23">
        <f t="shared" ca="1" si="6"/>
        <v>1301</v>
      </c>
      <c r="AF23">
        <f t="shared" ca="1" si="7"/>
        <v>36.130099999999999</v>
      </c>
      <c r="AI23" s="10" t="s">
        <v>37</v>
      </c>
      <c r="AJ23" t="str">
        <f t="shared" si="8"/>
        <v>T-72B3 Tank  #22</v>
      </c>
      <c r="AL23" s="10">
        <f t="shared" ca="1" si="9"/>
        <v>158</v>
      </c>
      <c r="AM23" s="10">
        <f t="shared" ca="1" si="10"/>
        <v>47.715800000000002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0.28000000000000003</v>
      </c>
      <c r="V24" s="20">
        <f t="shared" ca="1" si="0"/>
        <v>0.77</v>
      </c>
      <c r="W24" s="20">
        <f t="shared" ca="1" si="0"/>
        <v>0.65</v>
      </c>
      <c r="X24">
        <f t="shared" ca="1" si="1"/>
        <v>36.62632</v>
      </c>
      <c r="Y24">
        <f t="shared" ca="1" si="2"/>
        <v>47.555210000000002</v>
      </c>
      <c r="Z24" s="19">
        <f t="shared" ca="1" si="3"/>
        <v>0.47</v>
      </c>
      <c r="AA24" s="19">
        <f t="shared" ca="1" si="3"/>
        <v>0.9</v>
      </c>
      <c r="AB24" s="19">
        <f t="shared" ca="1" si="3"/>
        <v>0.61</v>
      </c>
      <c r="AC24">
        <f t="shared" ca="1" si="4"/>
        <v>36.821069999999999</v>
      </c>
      <c r="AD24">
        <f t="shared" ca="1" si="5"/>
        <v>47.652569999999997</v>
      </c>
      <c r="AE24">
        <f t="shared" ca="1" si="6"/>
        <v>4083</v>
      </c>
      <c r="AF24">
        <f t="shared" ca="1" si="7"/>
        <v>36.408299999999997</v>
      </c>
      <c r="AI24" s="10" t="s">
        <v>38</v>
      </c>
      <c r="AJ24" t="str">
        <f t="shared" si="8"/>
        <v>T-80BVM Tank  #23</v>
      </c>
      <c r="AL24" s="10">
        <f t="shared" ca="1" si="9"/>
        <v>688</v>
      </c>
      <c r="AM24" s="10">
        <f t="shared" ca="1" si="10"/>
        <v>47.768800000000006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0.78</v>
      </c>
      <c r="V25" s="20">
        <f t="shared" ca="1" si="0"/>
        <v>0.16</v>
      </c>
      <c r="W25" s="20">
        <f t="shared" ca="1" si="0"/>
        <v>0.87</v>
      </c>
      <c r="X25">
        <f t="shared" ca="1" si="1"/>
        <v>36.674799999999998</v>
      </c>
      <c r="Y25">
        <f t="shared" ca="1" si="2"/>
        <v>47.689599999999999</v>
      </c>
      <c r="Z25" s="19">
        <f t="shared" ca="1" si="3"/>
        <v>0.28999999999999998</v>
      </c>
      <c r="AA25" s="19">
        <f t="shared" ca="1" si="3"/>
        <v>7.0000000000000007E-2</v>
      </c>
      <c r="AB25" s="19">
        <f t="shared" ca="1" si="3"/>
        <v>0.05</v>
      </c>
      <c r="AC25">
        <f t="shared" ca="1" si="4"/>
        <v>36.849339999999998</v>
      </c>
      <c r="AD25">
        <f t="shared" ca="1" si="5"/>
        <v>47.686770000000003</v>
      </c>
      <c r="AE25">
        <f t="shared" ca="1" si="6"/>
        <v>267</v>
      </c>
      <c r="AF25">
        <f t="shared" ca="1" si="7"/>
        <v>36.026699999999998</v>
      </c>
      <c r="AI25" s="10" t="s">
        <v>37</v>
      </c>
      <c r="AJ25" t="str">
        <f t="shared" si="8"/>
        <v>T-72B3 Tank  #24</v>
      </c>
      <c r="AL25" s="10">
        <f t="shared" ca="1" si="9"/>
        <v>799</v>
      </c>
      <c r="AM25" s="10">
        <f t="shared" ca="1" si="10"/>
        <v>47.779900000000005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0.13</v>
      </c>
      <c r="V26" s="20">
        <f t="shared" ca="1" si="0"/>
        <v>0.5</v>
      </c>
      <c r="W26" s="20">
        <f t="shared" ca="1" si="0"/>
        <v>0.34</v>
      </c>
      <c r="X26">
        <f t="shared" ca="1" si="1"/>
        <v>36.577370000000002</v>
      </c>
      <c r="Y26">
        <f t="shared" ca="1" si="2"/>
        <v>47.605249999999998</v>
      </c>
      <c r="Z26" s="19">
        <f t="shared" ca="1" si="3"/>
        <v>0.55000000000000004</v>
      </c>
      <c r="AA26" s="19">
        <f t="shared" ca="1" si="3"/>
        <v>0.8</v>
      </c>
      <c r="AB26" s="19">
        <f t="shared" ca="1" si="3"/>
        <v>0.06</v>
      </c>
      <c r="AC26">
        <f t="shared" ca="1" si="4"/>
        <v>36.805280000000003</v>
      </c>
      <c r="AD26">
        <f t="shared" ca="1" si="5"/>
        <v>47.657960000000003</v>
      </c>
      <c r="AE26">
        <f t="shared" ca="1" si="6"/>
        <v>6477</v>
      </c>
      <c r="AF26">
        <f t="shared" ca="1" si="7"/>
        <v>36.6477</v>
      </c>
      <c r="AI26" s="10" t="s">
        <v>38</v>
      </c>
      <c r="AJ26" t="str">
        <f t="shared" si="8"/>
        <v>T-80BVM Tank  #25</v>
      </c>
      <c r="AL26" s="10">
        <f t="shared" ca="1" si="9"/>
        <v>545</v>
      </c>
      <c r="AM26" s="10">
        <f t="shared" ca="1" si="10"/>
        <v>47.7545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0.09</v>
      </c>
      <c r="V27" s="20">
        <f t="shared" ca="1" si="0"/>
        <v>0.47</v>
      </c>
      <c r="W27" s="20">
        <f t="shared" ca="1" si="0"/>
        <v>0.17</v>
      </c>
      <c r="X27">
        <f t="shared" ca="1" si="1"/>
        <v>36.554749999999999</v>
      </c>
      <c r="Y27">
        <f t="shared" ca="1" si="2"/>
        <v>47.619790000000002</v>
      </c>
      <c r="Z27" s="19">
        <f t="shared" ca="1" si="3"/>
        <v>0.57999999999999996</v>
      </c>
      <c r="AA27" s="19">
        <f t="shared" ca="1" si="3"/>
        <v>0.25</v>
      </c>
      <c r="AB27" s="19">
        <f t="shared" ca="1" si="3"/>
        <v>0.1</v>
      </c>
      <c r="AC27">
        <f t="shared" ca="1" si="4"/>
        <v>36.825000000000003</v>
      </c>
      <c r="AD27">
        <f t="shared" ca="1" si="5"/>
        <v>47.677500000000002</v>
      </c>
      <c r="AE27">
        <f t="shared" ca="1" si="6"/>
        <v>3723</v>
      </c>
      <c r="AF27">
        <f t="shared" ca="1" si="7"/>
        <v>36.372300000000003</v>
      </c>
      <c r="AI27" s="10" t="s">
        <v>39</v>
      </c>
      <c r="AJ27" t="str">
        <f t="shared" si="8"/>
        <v>BMP-2  #26</v>
      </c>
      <c r="AL27" s="10">
        <f t="shared" ca="1" si="9"/>
        <v>132</v>
      </c>
      <c r="AM27" s="10">
        <f t="shared" ca="1" si="10"/>
        <v>47.713200000000001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0.11</v>
      </c>
      <c r="V28" s="20">
        <f t="shared" ca="1" si="0"/>
        <v>0.73</v>
      </c>
      <c r="W28" s="20">
        <f t="shared" ca="1" si="0"/>
        <v>0.75</v>
      </c>
      <c r="X28">
        <f t="shared" ca="1" si="1"/>
        <v>36.642719999999997</v>
      </c>
      <c r="Y28">
        <f t="shared" ca="1" si="2"/>
        <v>47.55048</v>
      </c>
      <c r="Z28" s="19">
        <f t="shared" ca="1" si="3"/>
        <v>0.31</v>
      </c>
      <c r="AA28" s="19">
        <f t="shared" ca="1" si="3"/>
        <v>1</v>
      </c>
      <c r="AB28" s="19">
        <f t="shared" ca="1" si="3"/>
        <v>0.7</v>
      </c>
      <c r="AC28">
        <f t="shared" ca="1" si="4"/>
        <v>36.814999999999998</v>
      </c>
      <c r="AD28">
        <f t="shared" ca="1" si="5"/>
        <v>47.65</v>
      </c>
      <c r="AE28">
        <f t="shared" ca="1" si="6"/>
        <v>1706</v>
      </c>
      <c r="AF28">
        <f t="shared" ca="1" si="7"/>
        <v>36.1706</v>
      </c>
      <c r="AI28" s="10" t="s">
        <v>39</v>
      </c>
      <c r="AJ28" t="str">
        <f t="shared" si="8"/>
        <v>BMP-2  #27</v>
      </c>
      <c r="AL28" s="10">
        <f t="shared" ca="1" si="9"/>
        <v>431</v>
      </c>
      <c r="AM28" s="10">
        <f t="shared" ca="1" si="10"/>
        <v>47.743100000000005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0.22</v>
      </c>
      <c r="V29" s="20">
        <f t="shared" ca="1" si="0"/>
        <v>0.89</v>
      </c>
      <c r="W29" s="20">
        <f t="shared" ca="1" si="0"/>
        <v>0.32</v>
      </c>
      <c r="X29">
        <f t="shared" ca="1" si="1"/>
        <v>36.566040000000001</v>
      </c>
      <c r="Y29">
        <f t="shared" ca="1" si="2"/>
        <v>47.575470000000003</v>
      </c>
      <c r="Z29" s="19">
        <f t="shared" ca="1" si="3"/>
        <v>0.03</v>
      </c>
      <c r="AA29" s="19">
        <f t="shared" ca="1" si="3"/>
        <v>0.61</v>
      </c>
      <c r="AB29" s="19">
        <f t="shared" ca="1" si="3"/>
        <v>0.95</v>
      </c>
      <c r="AC29">
        <f t="shared" ca="1" si="4"/>
        <v>36.812899999999999</v>
      </c>
      <c r="AD29">
        <f t="shared" ca="1" si="5"/>
        <v>47.66095</v>
      </c>
      <c r="AE29">
        <f t="shared" ca="1" si="6"/>
        <v>3277</v>
      </c>
      <c r="AF29">
        <f t="shared" ca="1" si="7"/>
        <v>36.3277</v>
      </c>
      <c r="AI29" s="10" t="s">
        <v>40</v>
      </c>
      <c r="AJ29" t="str">
        <f t="shared" si="8"/>
        <v>BTR-80  #28</v>
      </c>
      <c r="AL29" s="10">
        <f t="shared" ca="1" si="9"/>
        <v>614</v>
      </c>
      <c r="AM29" s="10">
        <f t="shared" ca="1" si="10"/>
        <v>47.761400000000002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0.3</v>
      </c>
      <c r="V30" s="20">
        <f t="shared" ca="1" si="0"/>
        <v>0.87</v>
      </c>
      <c r="W30" s="20">
        <f t="shared" ca="1" si="0"/>
        <v>7.0000000000000007E-2</v>
      </c>
      <c r="X30">
        <f t="shared" ca="1" si="1"/>
        <v>36.519779999999997</v>
      </c>
      <c r="Y30">
        <f t="shared" ca="1" si="2"/>
        <v>47.600200000000001</v>
      </c>
      <c r="Z30" s="19">
        <f t="shared" ca="1" si="3"/>
        <v>0.7</v>
      </c>
      <c r="AA30" s="19">
        <f t="shared" ca="1" si="3"/>
        <v>0.38</v>
      </c>
      <c r="AB30" s="19">
        <f t="shared" ca="1" si="3"/>
        <v>0.84</v>
      </c>
      <c r="AC30">
        <f t="shared" ca="1" si="4"/>
        <v>36.819180000000003</v>
      </c>
      <c r="AD30">
        <f t="shared" ca="1" si="5"/>
        <v>47.695070000000001</v>
      </c>
      <c r="AE30">
        <f t="shared" ca="1" si="6"/>
        <v>3734</v>
      </c>
      <c r="AF30">
        <f t="shared" ca="1" si="7"/>
        <v>36.373399999999997</v>
      </c>
      <c r="AI30" s="10" t="s">
        <v>39</v>
      </c>
      <c r="AJ30" t="str">
        <f t="shared" si="8"/>
        <v>BMP-2  #29</v>
      </c>
      <c r="AL30" s="10">
        <f t="shared" ca="1" si="9"/>
        <v>178</v>
      </c>
      <c r="AM30" s="10">
        <f t="shared" ca="1" si="10"/>
        <v>47.717800000000004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0.75</v>
      </c>
      <c r="V31" s="20">
        <f t="shared" ca="1" si="0"/>
        <v>0.16</v>
      </c>
      <c r="W31" s="20">
        <f t="shared" ca="1" si="0"/>
        <v>0.12</v>
      </c>
      <c r="X31">
        <f t="shared" ca="1" si="1"/>
        <v>36.644799999999996</v>
      </c>
      <c r="Y31">
        <f t="shared" ca="1" si="2"/>
        <v>47.629600000000003</v>
      </c>
      <c r="Z31" s="19">
        <f t="shared" ca="1" si="3"/>
        <v>0.5</v>
      </c>
      <c r="AA31" s="19">
        <f t="shared" ca="1" si="3"/>
        <v>0.4</v>
      </c>
      <c r="AB31" s="19">
        <f t="shared" ca="1" si="3"/>
        <v>0.45</v>
      </c>
      <c r="AC31">
        <f t="shared" ca="1" si="4"/>
        <v>36.818379999999998</v>
      </c>
      <c r="AD31">
        <f t="shared" ca="1" si="5"/>
        <v>47.682609999999997</v>
      </c>
      <c r="AE31">
        <f t="shared" ca="1" si="6"/>
        <v>7070</v>
      </c>
      <c r="AF31">
        <f t="shared" ca="1" si="7"/>
        <v>36.707000000000001</v>
      </c>
      <c r="AI31" s="10" t="s">
        <v>39</v>
      </c>
      <c r="AJ31" t="str">
        <f t="shared" si="8"/>
        <v>BMP-2  #30</v>
      </c>
      <c r="AL31" s="10">
        <f t="shared" ca="1" si="9"/>
        <v>930</v>
      </c>
      <c r="AM31" s="10">
        <f t="shared" ca="1" si="10"/>
        <v>47.793000000000006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0.09</v>
      </c>
      <c r="V32" s="20">
        <f t="shared" ca="1" si="0"/>
        <v>0.66</v>
      </c>
      <c r="W32" s="20">
        <f t="shared" ca="1" si="0"/>
        <v>0.16</v>
      </c>
      <c r="X32">
        <f t="shared" ca="1" si="1"/>
        <v>36.544759999999997</v>
      </c>
      <c r="Y32">
        <f t="shared" ca="1" si="2"/>
        <v>47.605759999999997</v>
      </c>
      <c r="Z32" s="19">
        <f t="shared" ca="1" si="3"/>
        <v>0.62</v>
      </c>
      <c r="AA32" s="19">
        <f t="shared" ca="1" si="3"/>
        <v>0.32</v>
      </c>
      <c r="AB32" s="19">
        <f t="shared" ca="1" si="3"/>
        <v>0.48</v>
      </c>
      <c r="AC32">
        <f t="shared" ca="1" si="4"/>
        <v>36.821719999999999</v>
      </c>
      <c r="AD32">
        <f t="shared" ca="1" si="5"/>
        <v>47.685290000000002</v>
      </c>
      <c r="AE32">
        <f t="shared" ca="1" si="6"/>
        <v>7483</v>
      </c>
      <c r="AF32">
        <f t="shared" ca="1" si="7"/>
        <v>36.7483</v>
      </c>
      <c r="AI32" s="10" t="s">
        <v>40</v>
      </c>
      <c r="AJ32" t="str">
        <f t="shared" si="8"/>
        <v>BTR-80  #31</v>
      </c>
      <c r="AL32" s="10">
        <f t="shared" ca="1" si="9"/>
        <v>663</v>
      </c>
      <c r="AM32" s="10">
        <f t="shared" ca="1" si="10"/>
        <v>47.766300000000001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0.69</v>
      </c>
      <c r="V33" s="20">
        <f t="shared" ca="1" si="0"/>
        <v>0.37</v>
      </c>
      <c r="W33" s="20">
        <f t="shared" ca="1" si="0"/>
        <v>0.83</v>
      </c>
      <c r="X33">
        <f t="shared" ref="X33:X96" ca="1" si="11">ROUND(IF(U33 &lt; $T$9,
 (1-SQRT(V33))*$T$3 + SQRT(V33)*(1-W33)*$T$4 + SQRT(V33)*W33*$T$5,
 (1-SQRT(V33))*$T$3 + SQRT(V33)*(1-W33)*$T$5 + SQRT(V33)*W33*$T$6
)/100,5)</f>
        <v>36.711309999999997</v>
      </c>
      <c r="Y33">
        <f t="shared" ref="Y33:Y96" ca="1" si="12">ROUND(IF(U33&lt;$T$9,(1-SQRT(V33))*$S$3+SQRT(V33)*(1-W33)*$S$4+SQRT(V33)*W33*$S$5,(1-SQRT(V33))*$S$3+SQRT(V33)*(1-W33)*$S$5+SQRT(V33)*W33*$S$6)/100,5)</f>
        <v>47.679319999999997</v>
      </c>
      <c r="Z33" s="19">
        <f t="shared" ca="1" si="3"/>
        <v>1</v>
      </c>
      <c r="AA33" s="19">
        <f t="shared" ca="1" si="3"/>
        <v>0.45</v>
      </c>
      <c r="AB33" s="19">
        <f t="shared" ca="1" si="3"/>
        <v>0.22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36.816459999999999</v>
      </c>
      <c r="AD33">
        <f t="shared" ref="AD33:AD96" ca="1" si="14">ROUND(IF(Z33&lt;$T$18,
(1-SQRT(AA33))*$S$12+SQRT(AA33)*(1-AB33)*$S$13+SQRT(AA33)*AB33*$S$14,
(1-SQRT(AA33))*$S$12+SQRT(AA33)*(1-AB33)*$S$14+SQRT(AA33)*AB33*$S$15)/100,5)</f>
        <v>47.673839999999998</v>
      </c>
      <c r="AE33">
        <f t="shared" ca="1" si="6"/>
        <v>5666</v>
      </c>
      <c r="AF33">
        <f t="shared" ca="1" si="7"/>
        <v>36.566600000000001</v>
      </c>
      <c r="AI33" s="10" t="s">
        <v>39</v>
      </c>
      <c r="AJ33" t="str">
        <f t="shared" si="8"/>
        <v>BMP-2  #32</v>
      </c>
      <c r="AL33" s="10">
        <f t="shared" ca="1" si="9"/>
        <v>121</v>
      </c>
      <c r="AM33" s="10">
        <f t="shared" ca="1" si="10"/>
        <v>47.7121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0.61</v>
      </c>
      <c r="V34" s="20">
        <f t="shared" ca="1" si="15"/>
        <v>0.01</v>
      </c>
      <c r="W34" s="20">
        <f t="shared" ca="1" si="15"/>
        <v>0.12</v>
      </c>
      <c r="X34">
        <f t="shared" ca="1" si="11"/>
        <v>36.611199999999997</v>
      </c>
      <c r="Y34">
        <f t="shared" ca="1" si="12"/>
        <v>47.682400000000001</v>
      </c>
      <c r="Z34" s="19">
        <f t="shared" ref="Z34:AB97" ca="1" si="16">RANDBETWEEN(0,100)/100</f>
        <v>0.89</v>
      </c>
      <c r="AA34" s="19">
        <f t="shared" ca="1" si="16"/>
        <v>0.52</v>
      </c>
      <c r="AB34" s="19">
        <f t="shared" ca="1" si="16"/>
        <v>0.32</v>
      </c>
      <c r="AC34">
        <f t="shared" ca="1" si="13"/>
        <v>36.813940000000002</v>
      </c>
      <c r="AD34">
        <f t="shared" ca="1" si="14"/>
        <v>47.67548</v>
      </c>
      <c r="AE34">
        <f t="shared" ca="1" si="6"/>
        <v>1496</v>
      </c>
      <c r="AF34">
        <f t="shared" ca="1" si="7"/>
        <v>36.1496</v>
      </c>
      <c r="AI34" s="10" t="s">
        <v>39</v>
      </c>
      <c r="AJ34" t="str">
        <f t="shared" si="8"/>
        <v>BMP-2  #33</v>
      </c>
      <c r="AL34" s="10">
        <f t="shared" ca="1" si="9"/>
        <v>152</v>
      </c>
      <c r="AM34" s="10">
        <f t="shared" ca="1" si="10"/>
        <v>47.715200000000003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0.75</v>
      </c>
      <c r="V35" s="20">
        <f t="shared" ca="1" si="15"/>
        <v>0.22</v>
      </c>
      <c r="W35" s="20">
        <f t="shared" ca="1" si="15"/>
        <v>0.77</v>
      </c>
      <c r="X35">
        <f t="shared" ca="1" si="11"/>
        <v>36.683019999999999</v>
      </c>
      <c r="Y35">
        <f t="shared" ca="1" si="12"/>
        <v>47.678420000000003</v>
      </c>
      <c r="Z35" s="19">
        <f t="shared" ca="1" si="16"/>
        <v>0.08</v>
      </c>
      <c r="AA35" s="19">
        <f t="shared" ca="1" si="16"/>
        <v>0.12</v>
      </c>
      <c r="AB35" s="19">
        <f t="shared" ca="1" si="16"/>
        <v>0.15</v>
      </c>
      <c r="AC35">
        <f t="shared" ca="1" si="13"/>
        <v>36.8474</v>
      </c>
      <c r="AD35">
        <f t="shared" ca="1" si="14"/>
        <v>47.682679999999998</v>
      </c>
      <c r="AE35">
        <f t="shared" ca="1" si="6"/>
        <v>8966</v>
      </c>
      <c r="AF35">
        <f t="shared" ca="1" si="7"/>
        <v>36.896599999999999</v>
      </c>
      <c r="AI35" s="10" t="s">
        <v>40</v>
      </c>
      <c r="AJ35" t="str">
        <f t="shared" si="8"/>
        <v>BTR-80  #34</v>
      </c>
      <c r="AL35" s="10">
        <f t="shared" ca="1" si="9"/>
        <v>561</v>
      </c>
      <c r="AM35" s="10">
        <f t="shared" ca="1" si="10"/>
        <v>47.756100000000004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0.82</v>
      </c>
      <c r="V36" s="20">
        <f t="shared" ca="1" si="15"/>
        <v>0.77</v>
      </c>
      <c r="W36" s="20">
        <f t="shared" ca="1" si="15"/>
        <v>0.17</v>
      </c>
      <c r="X36">
        <f t="shared" ca="1" si="11"/>
        <v>36.702669999999998</v>
      </c>
      <c r="Y36">
        <f t="shared" ca="1" si="12"/>
        <v>47.554340000000003</v>
      </c>
      <c r="Z36" s="19">
        <f t="shared" ca="1" si="16"/>
        <v>0.52</v>
      </c>
      <c r="AA36" s="19">
        <f t="shared" ca="1" si="16"/>
        <v>0.13</v>
      </c>
      <c r="AB36" s="19">
        <f t="shared" ca="1" si="16"/>
        <v>0.8</v>
      </c>
      <c r="AC36">
        <f t="shared" ca="1" si="13"/>
        <v>36.831969999999998</v>
      </c>
      <c r="AD36">
        <f t="shared" ca="1" si="14"/>
        <v>47.696390000000001</v>
      </c>
      <c r="AE36">
        <f t="shared" ca="1" si="6"/>
        <v>1715</v>
      </c>
      <c r="AF36">
        <f t="shared" ca="1" si="7"/>
        <v>36.171500000000002</v>
      </c>
      <c r="AI36" s="10" t="s">
        <v>39</v>
      </c>
      <c r="AJ36" t="str">
        <f t="shared" si="8"/>
        <v>BMP-2  #35</v>
      </c>
      <c r="AL36" s="10">
        <f t="shared" ca="1" si="9"/>
        <v>986</v>
      </c>
      <c r="AM36" s="10">
        <f t="shared" ca="1" si="10"/>
        <v>47.7986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0.61</v>
      </c>
      <c r="V37" s="20">
        <f t="shared" ca="1" si="15"/>
        <v>0.59</v>
      </c>
      <c r="W37" s="20">
        <f t="shared" ca="1" si="15"/>
        <v>0.65</v>
      </c>
      <c r="X37">
        <f t="shared" ca="1" si="11"/>
        <v>36.726739999999999</v>
      </c>
      <c r="Y37">
        <f t="shared" ca="1" si="12"/>
        <v>47.646230000000003</v>
      </c>
      <c r="Z37" s="19">
        <f t="shared" ca="1" si="16"/>
        <v>0.97</v>
      </c>
      <c r="AA37" s="19">
        <f t="shared" ca="1" si="16"/>
        <v>0.18</v>
      </c>
      <c r="AB37" s="19">
        <f t="shared" ca="1" si="16"/>
        <v>0.79</v>
      </c>
      <c r="AC37">
        <f t="shared" ca="1" si="13"/>
        <v>36.828789999999998</v>
      </c>
      <c r="AD37">
        <f t="shared" ca="1" si="14"/>
        <v>47.695549999999997</v>
      </c>
      <c r="AE37">
        <f t="shared" ca="1" si="6"/>
        <v>9516</v>
      </c>
      <c r="AF37">
        <f t="shared" ca="1" si="7"/>
        <v>36.951599999999999</v>
      </c>
      <c r="AI37" s="10" t="s">
        <v>39</v>
      </c>
      <c r="AJ37" t="str">
        <f t="shared" si="8"/>
        <v>BMP-2  #36</v>
      </c>
      <c r="AL37" s="10">
        <f t="shared" ca="1" si="9"/>
        <v>685</v>
      </c>
      <c r="AM37" s="10">
        <f t="shared" ca="1" si="10"/>
        <v>47.768500000000003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0.51</v>
      </c>
      <c r="V38" s="20">
        <f t="shared" ca="1" si="15"/>
        <v>0.31</v>
      </c>
      <c r="W38" s="20">
        <f t="shared" ca="1" si="15"/>
        <v>0.56000000000000005</v>
      </c>
      <c r="X38">
        <f t="shared" ca="1" si="11"/>
        <v>36.686860000000003</v>
      </c>
      <c r="Y38">
        <f t="shared" ca="1" si="12"/>
        <v>47.651000000000003</v>
      </c>
      <c r="Z38" s="19">
        <f t="shared" ca="1" si="16"/>
        <v>0.25</v>
      </c>
      <c r="AA38" s="19">
        <f t="shared" ca="1" si="16"/>
        <v>0.01</v>
      </c>
      <c r="AB38" s="19">
        <f t="shared" ca="1" si="16"/>
        <v>0.93</v>
      </c>
      <c r="AC38">
        <f t="shared" ca="1" si="13"/>
        <v>36.845350000000003</v>
      </c>
      <c r="AD38">
        <f t="shared" ca="1" si="14"/>
        <v>47.695</v>
      </c>
      <c r="AE38">
        <f t="shared" ca="1" si="6"/>
        <v>7424</v>
      </c>
      <c r="AF38">
        <f t="shared" ca="1" si="7"/>
        <v>36.742400000000004</v>
      </c>
      <c r="AI38" s="10" t="s">
        <v>40</v>
      </c>
      <c r="AJ38" t="str">
        <f t="shared" si="8"/>
        <v>BTR-80  #37</v>
      </c>
      <c r="AL38" s="10">
        <f t="shared" ca="1" si="9"/>
        <v>320</v>
      </c>
      <c r="AM38" s="10">
        <f t="shared" ca="1" si="10"/>
        <v>47.731999999999999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0.8</v>
      </c>
      <c r="V39" s="20">
        <f t="shared" ca="1" si="15"/>
        <v>0.38</v>
      </c>
      <c r="W39" s="20">
        <f t="shared" ca="1" si="15"/>
        <v>0.44</v>
      </c>
      <c r="X39">
        <f t="shared" ca="1" si="11"/>
        <v>36.688769999999998</v>
      </c>
      <c r="Y39">
        <f t="shared" ca="1" si="12"/>
        <v>47.630960000000002</v>
      </c>
      <c r="Z39" s="19">
        <f t="shared" ca="1" si="16"/>
        <v>0.91</v>
      </c>
      <c r="AA39" s="19">
        <f t="shared" ca="1" si="16"/>
        <v>0.21</v>
      </c>
      <c r="AB39" s="19">
        <f t="shared" ca="1" si="16"/>
        <v>0.96</v>
      </c>
      <c r="AC39">
        <f t="shared" ca="1" si="13"/>
        <v>36.827089999999998</v>
      </c>
      <c r="AD39">
        <f t="shared" ca="1" si="14"/>
        <v>47.699080000000002</v>
      </c>
      <c r="AE39">
        <f t="shared" ca="1" si="6"/>
        <v>6805</v>
      </c>
      <c r="AF39">
        <f t="shared" ca="1" si="7"/>
        <v>36.680500000000002</v>
      </c>
      <c r="AI39" s="10" t="s">
        <v>41</v>
      </c>
      <c r="AJ39" t="str">
        <f t="shared" si="8"/>
        <v>Infantry Squad  #38</v>
      </c>
      <c r="AL39" s="10">
        <f t="shared" ca="1" si="9"/>
        <v>509</v>
      </c>
      <c r="AM39" s="10">
        <f t="shared" ca="1" si="10"/>
        <v>47.750900000000001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0.72</v>
      </c>
      <c r="V40" s="20">
        <f t="shared" ca="1" si="15"/>
        <v>0.3</v>
      </c>
      <c r="W40" s="20">
        <f t="shared" ca="1" si="15"/>
        <v>0.71</v>
      </c>
      <c r="X40">
        <f t="shared" ca="1" si="11"/>
        <v>36.693660000000001</v>
      </c>
      <c r="Y40">
        <f t="shared" ca="1" si="12"/>
        <v>47.668230000000001</v>
      </c>
      <c r="Z40" s="19">
        <f t="shared" ca="1" si="16"/>
        <v>0.31</v>
      </c>
      <c r="AA40" s="19">
        <f t="shared" ca="1" si="16"/>
        <v>0.71</v>
      </c>
      <c r="AB40" s="19">
        <f t="shared" ca="1" si="16"/>
        <v>0.32</v>
      </c>
      <c r="AC40">
        <f t="shared" ca="1" si="13"/>
        <v>36.83652</v>
      </c>
      <c r="AD40">
        <f t="shared" ca="1" si="14"/>
        <v>47.657870000000003</v>
      </c>
      <c r="AE40">
        <f t="shared" ca="1" si="6"/>
        <v>6746</v>
      </c>
      <c r="AF40">
        <f t="shared" ca="1" si="7"/>
        <v>36.674599999999998</v>
      </c>
      <c r="AI40" s="10" t="s">
        <v>41</v>
      </c>
      <c r="AJ40" t="str">
        <f t="shared" si="8"/>
        <v>Infantry Squad  #39</v>
      </c>
      <c r="AL40" s="10">
        <f t="shared" ca="1" si="9"/>
        <v>690</v>
      </c>
      <c r="AM40" s="10">
        <f t="shared" ca="1" si="10"/>
        <v>47.769000000000005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0.9</v>
      </c>
      <c r="V41" s="20">
        <f t="shared" ca="1" si="15"/>
        <v>0.33</v>
      </c>
      <c r="W41" s="20">
        <f t="shared" ca="1" si="15"/>
        <v>0.14000000000000001</v>
      </c>
      <c r="X41">
        <f t="shared" ca="1" si="11"/>
        <v>36.665489999999998</v>
      </c>
      <c r="Y41">
        <f t="shared" ca="1" si="12"/>
        <v>47.601190000000003</v>
      </c>
      <c r="Z41" s="19">
        <f t="shared" ca="1" si="16"/>
        <v>0.14000000000000001</v>
      </c>
      <c r="AA41" s="19">
        <f t="shared" ca="1" si="16"/>
        <v>0.28999999999999998</v>
      </c>
      <c r="AB41" s="19">
        <f t="shared" ca="1" si="16"/>
        <v>0.33</v>
      </c>
      <c r="AC41">
        <f t="shared" ca="1" si="13"/>
        <v>36.84111</v>
      </c>
      <c r="AD41">
        <f t="shared" ca="1" si="14"/>
        <v>47.673070000000003</v>
      </c>
      <c r="AE41">
        <f t="shared" ca="1" si="6"/>
        <v>6079</v>
      </c>
      <c r="AF41">
        <f t="shared" ca="1" si="7"/>
        <v>36.607900000000001</v>
      </c>
      <c r="AI41" s="10" t="s">
        <v>41</v>
      </c>
      <c r="AJ41" t="str">
        <f t="shared" si="8"/>
        <v>Infantry Squad  #40</v>
      </c>
      <c r="AL41" s="10">
        <f t="shared" ca="1" si="9"/>
        <v>378</v>
      </c>
      <c r="AM41" s="10">
        <f t="shared" ca="1" si="10"/>
        <v>47.7378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0.4</v>
      </c>
      <c r="V42" s="20">
        <f t="shared" ca="1" si="15"/>
        <v>0.22</v>
      </c>
      <c r="W42" s="20">
        <f t="shared" ca="1" si="15"/>
        <v>0.35</v>
      </c>
      <c r="X42">
        <f t="shared" ca="1" si="11"/>
        <v>36.585929999999998</v>
      </c>
      <c r="Y42">
        <f t="shared" ca="1" si="12"/>
        <v>47.636679999999998</v>
      </c>
      <c r="Z42" s="19">
        <f t="shared" ca="1" si="16"/>
        <v>0.39</v>
      </c>
      <c r="AA42" s="19">
        <f t="shared" ca="1" si="16"/>
        <v>0.44</v>
      </c>
      <c r="AB42" s="19">
        <f t="shared" ca="1" si="16"/>
        <v>0.34</v>
      </c>
      <c r="AC42">
        <f t="shared" ca="1" si="13"/>
        <v>36.838720000000002</v>
      </c>
      <c r="AD42">
        <f t="shared" ca="1" si="14"/>
        <v>47.666829999999997</v>
      </c>
      <c r="AE42">
        <f t="shared" ca="1" si="6"/>
        <v>4494</v>
      </c>
      <c r="AF42">
        <f t="shared" ca="1" si="7"/>
        <v>36.449399999999997</v>
      </c>
      <c r="AI42" s="10" t="s">
        <v>37</v>
      </c>
      <c r="AJ42" t="str">
        <f t="shared" si="8"/>
        <v>T-72B3 Tank  #41</v>
      </c>
      <c r="AL42" s="10">
        <f t="shared" ca="1" si="9"/>
        <v>152</v>
      </c>
      <c r="AM42" s="10">
        <f t="shared" ca="1" si="10"/>
        <v>47.715200000000003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0.84</v>
      </c>
      <c r="V43" s="20">
        <f t="shared" ca="1" si="15"/>
        <v>0.25</v>
      </c>
      <c r="W43" s="20">
        <f t="shared" ca="1" si="15"/>
        <v>0.38</v>
      </c>
      <c r="X43">
        <f t="shared" ca="1" si="11"/>
        <v>36.668999999999997</v>
      </c>
      <c r="Y43">
        <f t="shared" ca="1" si="12"/>
        <v>47.637999999999998</v>
      </c>
      <c r="Z43" s="19">
        <f t="shared" ca="1" si="16"/>
        <v>0.9</v>
      </c>
      <c r="AA43" s="19">
        <f t="shared" ca="1" si="16"/>
        <v>0.98</v>
      </c>
      <c r="AB43" s="19">
        <f t="shared" ca="1" si="16"/>
        <v>0.38</v>
      </c>
      <c r="AC43">
        <f t="shared" ca="1" si="13"/>
        <v>36.8005</v>
      </c>
      <c r="AD43">
        <f t="shared" ca="1" si="14"/>
        <v>47.669310000000003</v>
      </c>
      <c r="AE43">
        <f t="shared" ca="1" si="6"/>
        <v>8621</v>
      </c>
      <c r="AF43">
        <f t="shared" ca="1" si="7"/>
        <v>36.862099999999998</v>
      </c>
      <c r="AI43" s="10" t="s">
        <v>37</v>
      </c>
      <c r="AJ43" t="str">
        <f t="shared" si="8"/>
        <v>T-72B3 Tank  #42</v>
      </c>
      <c r="AL43" s="10">
        <f t="shared" ca="1" si="9"/>
        <v>630</v>
      </c>
      <c r="AM43" s="10">
        <f t="shared" ca="1" si="10"/>
        <v>47.763000000000005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0.49</v>
      </c>
      <c r="V44" s="20">
        <f t="shared" ca="1" si="15"/>
        <v>0.9</v>
      </c>
      <c r="W44" s="20">
        <f t="shared" ca="1" si="15"/>
        <v>0.24</v>
      </c>
      <c r="X44">
        <f t="shared" ca="1" si="11"/>
        <v>36.717640000000003</v>
      </c>
      <c r="Y44">
        <f t="shared" ca="1" si="12"/>
        <v>47.555799999999998</v>
      </c>
      <c r="Z44" s="19">
        <f t="shared" ca="1" si="16"/>
        <v>0.85</v>
      </c>
      <c r="AA44" s="19">
        <f t="shared" ca="1" si="16"/>
        <v>0.73</v>
      </c>
      <c r="AB44" s="19">
        <f t="shared" ca="1" si="16"/>
        <v>0.26</v>
      </c>
      <c r="AC44">
        <f t="shared" ca="1" si="13"/>
        <v>36.807279999999999</v>
      </c>
      <c r="AD44">
        <f t="shared" ca="1" si="14"/>
        <v>47.668390000000002</v>
      </c>
      <c r="AE44">
        <f t="shared" ca="1" si="6"/>
        <v>4557</v>
      </c>
      <c r="AF44">
        <f t="shared" ca="1" si="7"/>
        <v>36.4557</v>
      </c>
      <c r="AI44" s="10" t="s">
        <v>38</v>
      </c>
      <c r="AJ44" t="str">
        <f t="shared" si="8"/>
        <v>T-80BVM Tank  #43</v>
      </c>
      <c r="AL44" s="10">
        <f t="shared" ca="1" si="9"/>
        <v>698</v>
      </c>
      <c r="AM44" s="10">
        <f t="shared" ca="1" si="10"/>
        <v>47.769800000000004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0.91</v>
      </c>
      <c r="V45" s="20">
        <f t="shared" ca="1" si="15"/>
        <v>0.74</v>
      </c>
      <c r="W45" s="20">
        <f t="shared" ca="1" si="15"/>
        <v>0.46</v>
      </c>
      <c r="X45">
        <f t="shared" ca="1" si="11"/>
        <v>36.725589999999997</v>
      </c>
      <c r="Y45">
        <f t="shared" ca="1" si="12"/>
        <v>47.607089999999999</v>
      </c>
      <c r="Z45" s="19">
        <f t="shared" ca="1" si="16"/>
        <v>0.72</v>
      </c>
      <c r="AA45" s="19">
        <f t="shared" ca="1" si="16"/>
        <v>0.14000000000000001</v>
      </c>
      <c r="AB45" s="19">
        <f t="shared" ca="1" si="16"/>
        <v>0.9</v>
      </c>
      <c r="AC45">
        <f t="shared" ca="1" si="13"/>
        <v>36.831290000000003</v>
      </c>
      <c r="AD45">
        <f t="shared" ca="1" si="14"/>
        <v>47.698129999999999</v>
      </c>
      <c r="AE45">
        <f t="shared" ca="1" si="6"/>
        <v>3873</v>
      </c>
      <c r="AF45">
        <f t="shared" ca="1" si="7"/>
        <v>36.387300000000003</v>
      </c>
      <c r="AI45" s="10" t="s">
        <v>37</v>
      </c>
      <c r="AJ45" t="str">
        <f t="shared" si="8"/>
        <v>T-72B3 Tank  #44</v>
      </c>
      <c r="AL45" s="10">
        <f t="shared" ca="1" si="9"/>
        <v>893</v>
      </c>
      <c r="AM45" s="10">
        <f t="shared" ca="1" si="10"/>
        <v>47.789300000000004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0.76</v>
      </c>
      <c r="V46" s="20">
        <f t="shared" ca="1" si="15"/>
        <v>0.14000000000000001</v>
      </c>
      <c r="W46" s="20">
        <f t="shared" ca="1" si="15"/>
        <v>0.41</v>
      </c>
      <c r="X46">
        <f t="shared" ca="1" si="11"/>
        <v>36.652760000000001</v>
      </c>
      <c r="Y46">
        <f t="shared" ca="1" si="12"/>
        <v>47.655850000000001</v>
      </c>
      <c r="Z46" s="19">
        <f t="shared" ca="1" si="16"/>
        <v>0.45</v>
      </c>
      <c r="AA46" s="19">
        <f t="shared" ca="1" si="16"/>
        <v>0.92</v>
      </c>
      <c r="AB46" s="19">
        <f t="shared" ca="1" si="16"/>
        <v>0.08</v>
      </c>
      <c r="AC46">
        <f t="shared" ca="1" si="13"/>
        <v>36.846159999999998</v>
      </c>
      <c r="AD46">
        <f t="shared" ca="1" si="14"/>
        <v>47.65204</v>
      </c>
      <c r="AE46">
        <f t="shared" ca="1" si="6"/>
        <v>1735</v>
      </c>
      <c r="AF46">
        <f t="shared" ca="1" si="7"/>
        <v>36.173499999999997</v>
      </c>
      <c r="AI46" s="10" t="s">
        <v>38</v>
      </c>
      <c r="AJ46" t="str">
        <f t="shared" si="8"/>
        <v>T-80BVM Tank  #45</v>
      </c>
      <c r="AL46" s="10">
        <f t="shared" ca="1" si="9"/>
        <v>243</v>
      </c>
      <c r="AM46" s="10">
        <f t="shared" ca="1" si="10"/>
        <v>47.724299999999999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0.92</v>
      </c>
      <c r="V47" s="20">
        <f t="shared" ca="1" si="15"/>
        <v>0.56999999999999995</v>
      </c>
      <c r="W47" s="20">
        <f t="shared" ca="1" si="15"/>
        <v>0.83</v>
      </c>
      <c r="X47">
        <f t="shared" ca="1" si="11"/>
        <v>36.738160000000001</v>
      </c>
      <c r="Y47">
        <f t="shared" ca="1" si="12"/>
        <v>47.674329999999998</v>
      </c>
      <c r="Z47" s="19">
        <f t="shared" ca="1" si="16"/>
        <v>0.45</v>
      </c>
      <c r="AA47" s="19">
        <f t="shared" ca="1" si="16"/>
        <v>0.47</v>
      </c>
      <c r="AB47" s="19">
        <f t="shared" ca="1" si="16"/>
        <v>0.25</v>
      </c>
      <c r="AC47">
        <f t="shared" ca="1" si="13"/>
        <v>36.841430000000003</v>
      </c>
      <c r="AD47">
        <f t="shared" ca="1" si="14"/>
        <v>47.66572</v>
      </c>
      <c r="AE47">
        <f t="shared" ca="1" si="6"/>
        <v>8553</v>
      </c>
      <c r="AF47">
        <f t="shared" ca="1" si="7"/>
        <v>36.8553</v>
      </c>
      <c r="AI47" s="10" t="s">
        <v>39</v>
      </c>
      <c r="AJ47" t="str">
        <f t="shared" si="8"/>
        <v>BMP-2  #46</v>
      </c>
      <c r="AL47" s="10">
        <f t="shared" ca="1" si="9"/>
        <v>293</v>
      </c>
      <c r="AM47" s="10">
        <f t="shared" ca="1" si="10"/>
        <v>47.729300000000002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0.34</v>
      </c>
      <c r="V48" s="20">
        <f t="shared" ca="1" si="15"/>
        <v>0.17</v>
      </c>
      <c r="W48" s="20">
        <f t="shared" ca="1" si="15"/>
        <v>0.45</v>
      </c>
      <c r="X48">
        <f t="shared" ca="1" si="11"/>
        <v>36.595880000000001</v>
      </c>
      <c r="Y48">
        <f t="shared" ca="1" si="12"/>
        <v>47.640210000000003</v>
      </c>
      <c r="Z48" s="19">
        <f t="shared" ca="1" si="16"/>
        <v>0.98</v>
      </c>
      <c r="AA48" s="19">
        <f t="shared" ca="1" si="16"/>
        <v>0.1</v>
      </c>
      <c r="AB48" s="19">
        <f t="shared" ca="1" si="16"/>
        <v>0.06</v>
      </c>
      <c r="AC48">
        <f t="shared" ca="1" si="13"/>
        <v>36.83419</v>
      </c>
      <c r="AD48">
        <f t="shared" ca="1" si="14"/>
        <v>47.685139999999997</v>
      </c>
      <c r="AE48">
        <f t="shared" ca="1" si="6"/>
        <v>4745</v>
      </c>
      <c r="AF48">
        <f t="shared" ca="1" si="7"/>
        <v>36.474499999999999</v>
      </c>
      <c r="AI48" s="10" t="s">
        <v>39</v>
      </c>
      <c r="AJ48" t="str">
        <f t="shared" si="8"/>
        <v>BMP-2  #47</v>
      </c>
      <c r="AL48" s="10">
        <f t="shared" ca="1" si="9"/>
        <v>55</v>
      </c>
      <c r="AM48" s="10">
        <f t="shared" ca="1" si="10"/>
        <v>47.705500000000001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0.62</v>
      </c>
      <c r="V49" s="20">
        <f t="shared" ca="1" si="15"/>
        <v>0.48</v>
      </c>
      <c r="W49" s="20">
        <f t="shared" ca="1" si="15"/>
        <v>0.47</v>
      </c>
      <c r="X49">
        <f t="shared" ca="1" si="11"/>
        <v>36.701839999999997</v>
      </c>
      <c r="Y49">
        <f t="shared" ca="1" si="12"/>
        <v>47.626559999999998</v>
      </c>
      <c r="Z49" s="19">
        <f t="shared" ca="1" si="16"/>
        <v>0.42</v>
      </c>
      <c r="AA49" s="19">
        <f t="shared" ca="1" si="16"/>
        <v>0.1</v>
      </c>
      <c r="AB49" s="19">
        <f t="shared" ca="1" si="16"/>
        <v>0.99</v>
      </c>
      <c r="AC49">
        <f t="shared" ca="1" si="13"/>
        <v>36.834350000000001</v>
      </c>
      <c r="AD49">
        <f t="shared" ca="1" si="14"/>
        <v>47.684190000000001</v>
      </c>
      <c r="AE49">
        <f t="shared" ca="1" si="6"/>
        <v>1400</v>
      </c>
      <c r="AF49">
        <f t="shared" ca="1" si="7"/>
        <v>36.14</v>
      </c>
      <c r="AI49" s="10" t="s">
        <v>40</v>
      </c>
      <c r="AJ49" t="str">
        <f t="shared" si="8"/>
        <v>BTR-80  #48</v>
      </c>
      <c r="AL49" s="10">
        <f t="shared" ca="1" si="9"/>
        <v>295</v>
      </c>
      <c r="AM49" s="10">
        <f t="shared" ca="1" si="10"/>
        <v>47.729500000000002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0.56999999999999995</v>
      </c>
      <c r="V50" s="20">
        <f t="shared" ca="1" si="15"/>
        <v>0.71</v>
      </c>
      <c r="W50" s="20">
        <f t="shared" ca="1" si="15"/>
        <v>0.45</v>
      </c>
      <c r="X50">
        <f t="shared" ca="1" si="11"/>
        <v>36.722180000000002</v>
      </c>
      <c r="Y50">
        <f t="shared" ca="1" si="12"/>
        <v>47.607309999999998</v>
      </c>
      <c r="Z50" s="19">
        <f t="shared" ca="1" si="16"/>
        <v>0.94</v>
      </c>
      <c r="AA50" s="19">
        <f t="shared" ca="1" si="16"/>
        <v>0.24</v>
      </c>
      <c r="AB50" s="19">
        <f t="shared" ca="1" si="16"/>
        <v>0.72</v>
      </c>
      <c r="AC50">
        <f t="shared" ca="1" si="13"/>
        <v>36.825510000000001</v>
      </c>
      <c r="AD50">
        <f t="shared" ca="1" si="14"/>
        <v>47.69314</v>
      </c>
      <c r="AE50">
        <f t="shared" ca="1" si="6"/>
        <v>604</v>
      </c>
      <c r="AF50">
        <f t="shared" ca="1" si="7"/>
        <v>36.060400000000001</v>
      </c>
      <c r="AI50" s="10" t="s">
        <v>39</v>
      </c>
      <c r="AJ50" t="str">
        <f t="shared" si="8"/>
        <v>BMP-2  #49</v>
      </c>
      <c r="AL50" s="10">
        <f t="shared" ca="1" si="9"/>
        <v>377</v>
      </c>
      <c r="AM50" s="10">
        <f t="shared" ca="1" si="10"/>
        <v>47.737700000000004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0.5</v>
      </c>
      <c r="V51" s="20">
        <f t="shared" ca="1" si="15"/>
        <v>0.64</v>
      </c>
      <c r="W51" s="20">
        <f t="shared" ca="1" si="15"/>
        <v>0.59</v>
      </c>
      <c r="X51">
        <f t="shared" ca="1" si="11"/>
        <v>36.727200000000003</v>
      </c>
      <c r="Y51">
        <f t="shared" ca="1" si="12"/>
        <v>47.634399999999999</v>
      </c>
      <c r="Z51" s="19">
        <f t="shared" ca="1" si="16"/>
        <v>0.79</v>
      </c>
      <c r="AA51" s="19">
        <f t="shared" ca="1" si="16"/>
        <v>0.37</v>
      </c>
      <c r="AB51" s="19">
        <f t="shared" ca="1" si="16"/>
        <v>0.49</v>
      </c>
      <c r="AC51">
        <f t="shared" ca="1" si="13"/>
        <v>36.819589999999998</v>
      </c>
      <c r="AD51">
        <f t="shared" ca="1" si="14"/>
        <v>47.684489999999997</v>
      </c>
      <c r="AE51">
        <f t="shared" ca="1" si="6"/>
        <v>732</v>
      </c>
      <c r="AF51">
        <f t="shared" ca="1" si="7"/>
        <v>36.0732</v>
      </c>
      <c r="AI51" s="10" t="s">
        <v>39</v>
      </c>
      <c r="AJ51" t="str">
        <f t="shared" si="8"/>
        <v>BMP-2  #50</v>
      </c>
      <c r="AL51" s="10">
        <f t="shared" ca="1" si="9"/>
        <v>663</v>
      </c>
      <c r="AM51" s="10">
        <f t="shared" ca="1" si="10"/>
        <v>47.766300000000001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0.11</v>
      </c>
      <c r="V52" s="20">
        <f t="shared" ca="1" si="15"/>
        <v>0.54</v>
      </c>
      <c r="W52" s="20">
        <f t="shared" ca="1" si="15"/>
        <v>0.25</v>
      </c>
      <c r="X52">
        <f t="shared" ca="1" si="11"/>
        <v>36.56326</v>
      </c>
      <c r="Y52">
        <f t="shared" ca="1" si="12"/>
        <v>47.608139999999999</v>
      </c>
      <c r="Z52" s="19">
        <f t="shared" ca="1" si="16"/>
        <v>0.85</v>
      </c>
      <c r="AA52" s="19">
        <f t="shared" ca="1" si="16"/>
        <v>0.54</v>
      </c>
      <c r="AB52" s="19">
        <f t="shared" ca="1" si="16"/>
        <v>0.69</v>
      </c>
      <c r="AC52">
        <f t="shared" ca="1" si="13"/>
        <v>36.81326</v>
      </c>
      <c r="AD52">
        <f t="shared" ca="1" si="14"/>
        <v>47.688609999999997</v>
      </c>
      <c r="AE52">
        <f t="shared" ca="1" si="6"/>
        <v>1552</v>
      </c>
      <c r="AF52">
        <f t="shared" ca="1" si="7"/>
        <v>36.155200000000001</v>
      </c>
      <c r="AI52" s="10" t="s">
        <v>40</v>
      </c>
      <c r="AJ52" t="str">
        <f t="shared" si="8"/>
        <v>BTR-80  #51</v>
      </c>
      <c r="AL52" s="10">
        <f t="shared" ca="1" si="9"/>
        <v>502</v>
      </c>
      <c r="AM52" s="10">
        <f t="shared" ca="1" si="10"/>
        <v>47.7502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0.64</v>
      </c>
      <c r="V53" s="20">
        <f t="shared" ca="1" si="15"/>
        <v>0.94</v>
      </c>
      <c r="W53" s="20">
        <f t="shared" ca="1" si="15"/>
        <v>0.69</v>
      </c>
      <c r="X53">
        <f t="shared" ca="1" si="11"/>
        <v>36.763849999999998</v>
      </c>
      <c r="Y53">
        <f t="shared" ca="1" si="12"/>
        <v>47.639890000000001</v>
      </c>
      <c r="Z53" s="19">
        <f t="shared" ca="1" si="16"/>
        <v>0.48</v>
      </c>
      <c r="AA53" s="19">
        <f t="shared" ca="1" si="16"/>
        <v>0.93</v>
      </c>
      <c r="AB53" s="19">
        <f t="shared" ca="1" si="16"/>
        <v>0.27</v>
      </c>
      <c r="AC53">
        <f t="shared" ca="1" si="13"/>
        <v>36.836979999999997</v>
      </c>
      <c r="AD53">
        <f t="shared" ca="1" si="14"/>
        <v>47.651780000000002</v>
      </c>
      <c r="AE53">
        <f t="shared" ca="1" si="6"/>
        <v>4877</v>
      </c>
      <c r="AF53">
        <f t="shared" ca="1" si="7"/>
        <v>36.487699999999997</v>
      </c>
      <c r="AI53" s="10" t="s">
        <v>39</v>
      </c>
      <c r="AJ53" t="str">
        <f t="shared" si="8"/>
        <v>BMP-2  #52</v>
      </c>
      <c r="AL53" s="10">
        <f t="shared" ca="1" si="9"/>
        <v>37</v>
      </c>
      <c r="AM53" s="10">
        <f t="shared" ca="1" si="10"/>
        <v>47.703700000000005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0.39</v>
      </c>
      <c r="V54" s="20">
        <f t="shared" ca="1" si="15"/>
        <v>0.04</v>
      </c>
      <c r="W54" s="20">
        <f t="shared" ca="1" si="15"/>
        <v>0.95</v>
      </c>
      <c r="X54">
        <f t="shared" ca="1" si="11"/>
        <v>36.618000000000002</v>
      </c>
      <c r="Y54">
        <f t="shared" ca="1" si="12"/>
        <v>47.661000000000001</v>
      </c>
      <c r="Z54" s="19">
        <f t="shared" ca="1" si="16"/>
        <v>0.6</v>
      </c>
      <c r="AA54" s="19">
        <f t="shared" ca="1" si="16"/>
        <v>0.3</v>
      </c>
      <c r="AB54" s="19">
        <f t="shared" ca="1" si="16"/>
        <v>0.84</v>
      </c>
      <c r="AC54">
        <f t="shared" ca="1" si="13"/>
        <v>36.822609999999997</v>
      </c>
      <c r="AD54">
        <f t="shared" ca="1" si="14"/>
        <v>47.695619999999998</v>
      </c>
      <c r="AE54">
        <f t="shared" ca="1" si="6"/>
        <v>5021</v>
      </c>
      <c r="AF54">
        <f t="shared" ca="1" si="7"/>
        <v>36.502099999999999</v>
      </c>
      <c r="AI54" s="10" t="s">
        <v>39</v>
      </c>
      <c r="AJ54" t="str">
        <f t="shared" si="8"/>
        <v>BMP-2  #53</v>
      </c>
      <c r="AL54" s="10">
        <f t="shared" ca="1" si="9"/>
        <v>504</v>
      </c>
      <c r="AM54" s="10">
        <f t="shared" ca="1" si="10"/>
        <v>47.750400000000006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0.14000000000000001</v>
      </c>
      <c r="V55" s="20">
        <f t="shared" ca="1" si="15"/>
        <v>0.79</v>
      </c>
      <c r="W55" s="20">
        <f t="shared" ca="1" si="15"/>
        <v>0.37</v>
      </c>
      <c r="X55">
        <f t="shared" ca="1" si="11"/>
        <v>36.576889999999999</v>
      </c>
      <c r="Y55">
        <f t="shared" ca="1" si="12"/>
        <v>47.578229999999998</v>
      </c>
      <c r="Z55" s="19">
        <f t="shared" ca="1" si="16"/>
        <v>0.46</v>
      </c>
      <c r="AA55" s="19">
        <f t="shared" ca="1" si="16"/>
        <v>0.42</v>
      </c>
      <c r="AB55" s="19">
        <f t="shared" ca="1" si="16"/>
        <v>0.78</v>
      </c>
      <c r="AC55">
        <f t="shared" ca="1" si="13"/>
        <v>36.824730000000002</v>
      </c>
      <c r="AD55">
        <f t="shared" ca="1" si="14"/>
        <v>47.6676</v>
      </c>
      <c r="AE55">
        <f t="shared" ca="1" si="6"/>
        <v>4818</v>
      </c>
      <c r="AF55">
        <f t="shared" ca="1" si="7"/>
        <v>36.4818</v>
      </c>
      <c r="AI55" s="10" t="s">
        <v>40</v>
      </c>
      <c r="AJ55" t="str">
        <f t="shared" si="8"/>
        <v>BTR-80  #54</v>
      </c>
      <c r="AL55" s="10">
        <f t="shared" ca="1" si="9"/>
        <v>409</v>
      </c>
      <c r="AM55" s="10">
        <f t="shared" ca="1" si="10"/>
        <v>47.740900000000003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0.71</v>
      </c>
      <c r="V56" s="20">
        <f t="shared" ca="1" si="15"/>
        <v>0.89</v>
      </c>
      <c r="W56" s="20">
        <f t="shared" ca="1" si="15"/>
        <v>0.4</v>
      </c>
      <c r="X56">
        <f t="shared" ca="1" si="11"/>
        <v>36.732080000000003</v>
      </c>
      <c r="Y56">
        <f t="shared" ca="1" si="12"/>
        <v>47.586790000000001</v>
      </c>
      <c r="Z56" s="19">
        <f t="shared" ca="1" si="16"/>
        <v>0.66</v>
      </c>
      <c r="AA56" s="19">
        <f t="shared" ca="1" si="16"/>
        <v>0.61</v>
      </c>
      <c r="AB56" s="19">
        <f t="shared" ca="1" si="16"/>
        <v>0.37</v>
      </c>
      <c r="AC56">
        <f t="shared" ca="1" si="13"/>
        <v>36.810949999999998</v>
      </c>
      <c r="AD56">
        <f t="shared" ca="1" si="14"/>
        <v>47.675400000000003</v>
      </c>
      <c r="AE56">
        <f t="shared" ca="1" si="6"/>
        <v>1556</v>
      </c>
      <c r="AF56">
        <f t="shared" ca="1" si="7"/>
        <v>36.1556</v>
      </c>
      <c r="AI56" s="10" t="s">
        <v>39</v>
      </c>
      <c r="AJ56" t="str">
        <f t="shared" si="8"/>
        <v>BMP-2  #55</v>
      </c>
      <c r="AL56" s="10">
        <f t="shared" ca="1" si="9"/>
        <v>347</v>
      </c>
      <c r="AM56" s="10">
        <f t="shared" ca="1" si="10"/>
        <v>47.734700000000004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0.88</v>
      </c>
      <c r="V57" s="20">
        <f t="shared" ca="1" si="15"/>
        <v>0.42</v>
      </c>
      <c r="W57" s="20">
        <f t="shared" ca="1" si="15"/>
        <v>0.24</v>
      </c>
      <c r="X57">
        <f t="shared" ca="1" si="11"/>
        <v>36.68036</v>
      </c>
      <c r="Y57">
        <f t="shared" ca="1" si="12"/>
        <v>47.601489999999998</v>
      </c>
      <c r="Z57" s="19">
        <f t="shared" ca="1" si="16"/>
        <v>0.94</v>
      </c>
      <c r="AA57" s="19">
        <f t="shared" ca="1" si="16"/>
        <v>0.69</v>
      </c>
      <c r="AB57" s="19">
        <f t="shared" ca="1" si="16"/>
        <v>0.25</v>
      </c>
      <c r="AC57">
        <f t="shared" ca="1" si="13"/>
        <v>36.80847</v>
      </c>
      <c r="AD57">
        <f t="shared" ca="1" si="14"/>
        <v>47.668849999999999</v>
      </c>
      <c r="AE57">
        <f t="shared" ca="1" si="6"/>
        <v>101</v>
      </c>
      <c r="AF57">
        <f t="shared" ca="1" si="7"/>
        <v>36.010100000000001</v>
      </c>
      <c r="AI57" s="10" t="s">
        <v>39</v>
      </c>
      <c r="AJ57" t="str">
        <f t="shared" si="8"/>
        <v>BMP-2  #56</v>
      </c>
      <c r="AL57" s="10">
        <f t="shared" ca="1" si="9"/>
        <v>483</v>
      </c>
      <c r="AM57" s="10">
        <f t="shared" ca="1" si="10"/>
        <v>47.7483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0.74</v>
      </c>
      <c r="V58" s="20">
        <f t="shared" ca="1" si="15"/>
        <v>1</v>
      </c>
      <c r="W58" s="20">
        <f t="shared" ca="1" si="15"/>
        <v>0.64</v>
      </c>
      <c r="X58">
        <f t="shared" ca="1" si="11"/>
        <v>36.764000000000003</v>
      </c>
      <c r="Y58">
        <f t="shared" ca="1" si="12"/>
        <v>47.628</v>
      </c>
      <c r="Z58" s="19">
        <f t="shared" ca="1" si="16"/>
        <v>0.53</v>
      </c>
      <c r="AA58" s="19">
        <f t="shared" ca="1" si="16"/>
        <v>0.24</v>
      </c>
      <c r="AB58" s="19">
        <f t="shared" ca="1" si="16"/>
        <v>0.89</v>
      </c>
      <c r="AC58">
        <f t="shared" ca="1" si="13"/>
        <v>36.825510000000001</v>
      </c>
      <c r="AD58">
        <f t="shared" ca="1" si="14"/>
        <v>47.697310000000002</v>
      </c>
      <c r="AE58">
        <f t="shared" ca="1" si="6"/>
        <v>1894</v>
      </c>
      <c r="AF58">
        <f t="shared" ca="1" si="7"/>
        <v>36.189399999999999</v>
      </c>
      <c r="AI58" s="10" t="s">
        <v>40</v>
      </c>
      <c r="AJ58" t="str">
        <f t="shared" si="8"/>
        <v>BTR-80  #57</v>
      </c>
      <c r="AL58" s="10">
        <f t="shared" ca="1" si="9"/>
        <v>848</v>
      </c>
      <c r="AM58" s="10">
        <f t="shared" ca="1" si="10"/>
        <v>47.784800000000004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0.77</v>
      </c>
      <c r="V59" s="20">
        <f t="shared" ca="1" si="15"/>
        <v>0.98</v>
      </c>
      <c r="W59" s="20">
        <f t="shared" ca="1" si="15"/>
        <v>0.57999999999999996</v>
      </c>
      <c r="X59">
        <f t="shared" ca="1" si="11"/>
        <v>36.756410000000002</v>
      </c>
      <c r="Y59">
        <f t="shared" ca="1" si="12"/>
        <v>47.616840000000003</v>
      </c>
      <c r="Z59" s="19">
        <f t="shared" ca="1" si="16"/>
        <v>0.51</v>
      </c>
      <c r="AA59" s="19">
        <f t="shared" ca="1" si="16"/>
        <v>0.28999999999999998</v>
      </c>
      <c r="AB59" s="19">
        <f t="shared" ca="1" si="16"/>
        <v>0.46</v>
      </c>
      <c r="AC59">
        <f t="shared" ca="1" si="13"/>
        <v>36.823070000000001</v>
      </c>
      <c r="AD59">
        <f t="shared" ca="1" si="14"/>
        <v>47.685459999999999</v>
      </c>
      <c r="AE59">
        <f t="shared" ca="1" si="6"/>
        <v>739</v>
      </c>
      <c r="AF59">
        <f t="shared" ca="1" si="7"/>
        <v>36.073900000000002</v>
      </c>
      <c r="AI59" s="10" t="s">
        <v>41</v>
      </c>
      <c r="AJ59" t="str">
        <f t="shared" si="8"/>
        <v>Infantry Squad  #58</v>
      </c>
      <c r="AL59" s="10">
        <f t="shared" ca="1" si="9"/>
        <v>949</v>
      </c>
      <c r="AM59" s="10">
        <f t="shared" ca="1" si="10"/>
        <v>47.794900000000005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0.2</v>
      </c>
      <c r="V60" s="20">
        <f t="shared" ca="1" si="15"/>
        <v>0.63</v>
      </c>
      <c r="W60" s="20">
        <f t="shared" ca="1" si="15"/>
        <v>0.91</v>
      </c>
      <c r="X60">
        <f t="shared" ca="1" si="11"/>
        <v>36.665089999999999</v>
      </c>
      <c r="Y60">
        <f t="shared" ca="1" si="12"/>
        <v>47.548400000000001</v>
      </c>
      <c r="Z60" s="19">
        <f t="shared" ca="1" si="16"/>
        <v>0.62</v>
      </c>
      <c r="AA60" s="19">
        <f t="shared" ca="1" si="16"/>
        <v>0.26</v>
      </c>
      <c r="AB60" s="19">
        <f t="shared" ca="1" si="16"/>
        <v>0.16</v>
      </c>
      <c r="AC60">
        <f t="shared" ca="1" si="13"/>
        <v>36.8245</v>
      </c>
      <c r="AD60">
        <f t="shared" ca="1" si="14"/>
        <v>47.678579999999997</v>
      </c>
      <c r="AE60">
        <f t="shared" ca="1" si="6"/>
        <v>360</v>
      </c>
      <c r="AF60">
        <f t="shared" ca="1" si="7"/>
        <v>36.036000000000001</v>
      </c>
      <c r="AI60" s="10" t="s">
        <v>41</v>
      </c>
      <c r="AJ60" t="str">
        <f t="shared" si="8"/>
        <v>Infantry Squad  #59</v>
      </c>
      <c r="AL60" s="10">
        <f t="shared" ca="1" si="9"/>
        <v>492</v>
      </c>
      <c r="AM60" s="10">
        <f t="shared" ca="1" si="10"/>
        <v>47.749200000000002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0.33</v>
      </c>
      <c r="V61" s="20">
        <f t="shared" ca="1" si="15"/>
        <v>0.06</v>
      </c>
      <c r="W61" s="20">
        <f t="shared" ca="1" si="15"/>
        <v>0.26</v>
      </c>
      <c r="X61">
        <f t="shared" ca="1" si="11"/>
        <v>36.588239999999999</v>
      </c>
      <c r="Y61">
        <f t="shared" ca="1" si="12"/>
        <v>47.669139999999999</v>
      </c>
      <c r="Z61" s="19">
        <f t="shared" ca="1" si="16"/>
        <v>0.41</v>
      </c>
      <c r="AA61" s="19">
        <f t="shared" ca="1" si="16"/>
        <v>0.48</v>
      </c>
      <c r="AB61" s="19">
        <f t="shared" ca="1" si="16"/>
        <v>0.56000000000000005</v>
      </c>
      <c r="AC61">
        <f t="shared" ca="1" si="13"/>
        <v>36.830599999999997</v>
      </c>
      <c r="AD61">
        <f t="shared" ca="1" si="14"/>
        <v>47.66536</v>
      </c>
      <c r="AE61">
        <f t="shared" ca="1" si="6"/>
        <v>1981</v>
      </c>
      <c r="AF61">
        <f t="shared" ca="1" si="7"/>
        <v>36.198099999999997</v>
      </c>
      <c r="AI61" s="10" t="s">
        <v>41</v>
      </c>
      <c r="AJ61" t="str">
        <f t="shared" si="8"/>
        <v>Infantry Squad  #60</v>
      </c>
      <c r="AL61" s="10">
        <f t="shared" ca="1" si="9"/>
        <v>80</v>
      </c>
      <c r="AM61" s="10">
        <f t="shared" ca="1" si="10"/>
        <v>47.708000000000006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0.78</v>
      </c>
      <c r="V62" s="20">
        <f t="shared" ca="1" si="15"/>
        <v>0.02</v>
      </c>
      <c r="W62" s="20">
        <f t="shared" ca="1" si="15"/>
        <v>0.85</v>
      </c>
      <c r="X62">
        <f t="shared" ca="1" si="11"/>
        <v>36.626159999999999</v>
      </c>
      <c r="Y62">
        <f t="shared" ca="1" si="12"/>
        <v>47.69576</v>
      </c>
      <c r="Z62" s="19">
        <f t="shared" ca="1" si="16"/>
        <v>1</v>
      </c>
      <c r="AA62" s="19">
        <f t="shared" ca="1" si="16"/>
        <v>0.94</v>
      </c>
      <c r="AB62" s="19">
        <f t="shared" ca="1" si="16"/>
        <v>0.53</v>
      </c>
      <c r="AC62">
        <f t="shared" ca="1" si="13"/>
        <v>36.801519999999996</v>
      </c>
      <c r="AD62">
        <f t="shared" ca="1" si="14"/>
        <v>47.677219999999998</v>
      </c>
      <c r="AE62">
        <f t="shared" ca="1" si="6"/>
        <v>7683</v>
      </c>
      <c r="AF62">
        <f t="shared" ca="1" si="7"/>
        <v>36.768299999999996</v>
      </c>
      <c r="AI62" s="10" t="s">
        <v>37</v>
      </c>
      <c r="AJ62" t="str">
        <f t="shared" si="8"/>
        <v>T-72B3 Tank  #61</v>
      </c>
      <c r="AL62" s="10">
        <f t="shared" ca="1" si="9"/>
        <v>245</v>
      </c>
      <c r="AM62" s="10">
        <f t="shared" ca="1" si="10"/>
        <v>47.724500000000006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0.85</v>
      </c>
      <c r="V63" s="20">
        <f t="shared" ca="1" si="15"/>
        <v>0.95</v>
      </c>
      <c r="W63" s="20">
        <f t="shared" ca="1" si="15"/>
        <v>0.47</v>
      </c>
      <c r="X63">
        <f t="shared" ca="1" si="11"/>
        <v>36.743279999999999</v>
      </c>
      <c r="Y63">
        <f t="shared" ca="1" si="12"/>
        <v>47.596679999999999</v>
      </c>
      <c r="Z63" s="19">
        <f t="shared" ca="1" si="16"/>
        <v>0.28000000000000003</v>
      </c>
      <c r="AA63" s="19">
        <f t="shared" ca="1" si="16"/>
        <v>0.96</v>
      </c>
      <c r="AB63" s="19">
        <f t="shared" ca="1" si="16"/>
        <v>0.63</v>
      </c>
      <c r="AC63">
        <f t="shared" ca="1" si="13"/>
        <v>36.819139999999997</v>
      </c>
      <c r="AD63">
        <f t="shared" ca="1" si="14"/>
        <v>47.651009999999999</v>
      </c>
      <c r="AE63">
        <f t="shared" ca="1" si="6"/>
        <v>2519</v>
      </c>
      <c r="AF63">
        <f t="shared" ca="1" si="7"/>
        <v>36.251899999999999</v>
      </c>
      <c r="AI63" s="10" t="s">
        <v>37</v>
      </c>
      <c r="AJ63" t="str">
        <f t="shared" si="8"/>
        <v>T-72B3 Tank  #62</v>
      </c>
      <c r="AL63" s="10">
        <f t="shared" ca="1" si="9"/>
        <v>388</v>
      </c>
      <c r="AM63" s="10">
        <f t="shared" ca="1" si="10"/>
        <v>47.738800000000005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0.31</v>
      </c>
      <c r="V64" s="20">
        <f t="shared" ca="1" si="15"/>
        <v>0.59</v>
      </c>
      <c r="W64" s="20">
        <f t="shared" ca="1" si="15"/>
        <v>0.98</v>
      </c>
      <c r="X64">
        <f t="shared" ca="1" si="11"/>
        <v>36.673740000000002</v>
      </c>
      <c r="Y64">
        <f t="shared" ca="1" si="12"/>
        <v>47.547910000000002</v>
      </c>
      <c r="Z64" s="19">
        <f t="shared" ca="1" si="16"/>
        <v>0.13</v>
      </c>
      <c r="AA64" s="19">
        <f t="shared" ca="1" si="16"/>
        <v>0.4</v>
      </c>
      <c r="AB64" s="19">
        <f t="shared" ca="1" si="16"/>
        <v>0.22</v>
      </c>
      <c r="AC64">
        <f t="shared" ca="1" si="13"/>
        <v>36.843040000000002</v>
      </c>
      <c r="AD64">
        <f t="shared" ca="1" si="14"/>
        <v>47.668379999999999</v>
      </c>
      <c r="AE64">
        <f t="shared" ca="1" si="6"/>
        <v>6578</v>
      </c>
      <c r="AF64">
        <f t="shared" ca="1" si="7"/>
        <v>36.657800000000002</v>
      </c>
      <c r="AI64" s="10" t="s">
        <v>38</v>
      </c>
      <c r="AJ64" t="str">
        <f t="shared" si="8"/>
        <v>T-80BVM Tank  #63</v>
      </c>
      <c r="AL64" s="10">
        <f t="shared" ca="1" si="9"/>
        <v>403</v>
      </c>
      <c r="AM64" s="10">
        <f t="shared" ca="1" si="10"/>
        <v>47.740300000000005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0.04</v>
      </c>
      <c r="V65" s="20">
        <f t="shared" ca="1" si="15"/>
        <v>0.41</v>
      </c>
      <c r="W65" s="20">
        <f t="shared" ca="1" si="15"/>
        <v>0.71</v>
      </c>
      <c r="X65">
        <f t="shared" ca="1" si="11"/>
        <v>36.626890000000003</v>
      </c>
      <c r="Y65">
        <f t="shared" ca="1" si="12"/>
        <v>47.590510000000002</v>
      </c>
      <c r="Z65" s="19">
        <f t="shared" ca="1" si="16"/>
        <v>0.21</v>
      </c>
      <c r="AA65" s="19">
        <f t="shared" ca="1" si="16"/>
        <v>0.33</v>
      </c>
      <c r="AB65" s="19">
        <f t="shared" ca="1" si="16"/>
        <v>0.91</v>
      </c>
      <c r="AC65">
        <f t="shared" ca="1" si="13"/>
        <v>36.823860000000003</v>
      </c>
      <c r="AD65">
        <f t="shared" ca="1" si="14"/>
        <v>47.671280000000003</v>
      </c>
      <c r="AE65">
        <f t="shared" ca="1" si="6"/>
        <v>8013</v>
      </c>
      <c r="AF65">
        <f t="shared" ca="1" si="7"/>
        <v>36.801299999999998</v>
      </c>
      <c r="AI65" s="10" t="s">
        <v>37</v>
      </c>
      <c r="AJ65" t="str">
        <f t="shared" si="8"/>
        <v>T-72B3 Tank  #64</v>
      </c>
      <c r="AL65" s="10">
        <f t="shared" ca="1" si="9"/>
        <v>745</v>
      </c>
      <c r="AM65" s="10">
        <f t="shared" ca="1" si="10"/>
        <v>47.774500000000003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0.37</v>
      </c>
      <c r="V66" s="20">
        <f t="shared" ca="1" si="15"/>
        <v>0.53</v>
      </c>
      <c r="W66" s="20">
        <f t="shared" ca="1" si="15"/>
        <v>0.36</v>
      </c>
      <c r="X66">
        <f t="shared" ca="1" si="11"/>
        <v>36.579619999999998</v>
      </c>
      <c r="Y66">
        <f t="shared" ca="1" si="12"/>
        <v>47.600990000000003</v>
      </c>
      <c r="Z66" s="19">
        <f t="shared" ca="1" si="16"/>
        <v>0.98</v>
      </c>
      <c r="AA66" s="19">
        <f t="shared" ca="1" si="16"/>
        <v>0.52</v>
      </c>
      <c r="AB66" s="19">
        <f t="shared" ca="1" si="16"/>
        <v>0.12</v>
      </c>
      <c r="AC66">
        <f t="shared" ca="1" si="13"/>
        <v>36.813940000000002</v>
      </c>
      <c r="AD66">
        <f t="shared" ca="1" si="14"/>
        <v>47.66827</v>
      </c>
      <c r="AE66">
        <f t="shared" ca="1" si="6"/>
        <v>4741</v>
      </c>
      <c r="AF66">
        <f t="shared" ca="1" si="7"/>
        <v>36.4741</v>
      </c>
      <c r="AI66" s="10" t="s">
        <v>38</v>
      </c>
      <c r="AJ66" t="str">
        <f t="shared" si="8"/>
        <v>T-80BVM Tank  #65</v>
      </c>
      <c r="AL66" s="10">
        <f t="shared" ca="1" si="9"/>
        <v>252</v>
      </c>
      <c r="AM66" s="10">
        <f t="shared" ca="1" si="10"/>
        <v>47.725200000000001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0.87</v>
      </c>
      <c r="V67" s="20">
        <f t="shared" ca="1" si="15"/>
        <v>0.73</v>
      </c>
      <c r="W67" s="20">
        <f t="shared" ca="1" si="15"/>
        <v>0.85</v>
      </c>
      <c r="X67">
        <f t="shared" ca="1" si="11"/>
        <v>36.75806</v>
      </c>
      <c r="Y67">
        <f t="shared" ca="1" si="12"/>
        <v>47.674370000000003</v>
      </c>
      <c r="Z67" s="19">
        <f t="shared" ca="1" si="16"/>
        <v>0.72</v>
      </c>
      <c r="AA67" s="19">
        <f t="shared" ca="1" si="16"/>
        <v>0.85</v>
      </c>
      <c r="AB67" s="19">
        <f t="shared" ca="1" si="16"/>
        <v>0.12</v>
      </c>
      <c r="AC67">
        <f t="shared" ca="1" si="13"/>
        <v>36.803899999999999</v>
      </c>
      <c r="AD67">
        <f t="shared" ca="1" si="14"/>
        <v>47.65943</v>
      </c>
      <c r="AE67">
        <f t="shared" ref="AE67:AE130" ca="1" si="17">RANDBETWEEN(0,10000)</f>
        <v>3416</v>
      </c>
      <c r="AF67">
        <f t="shared" ref="AF67:AF130" ca="1" si="18">36+AE67/10000</f>
        <v>36.3416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615</v>
      </c>
      <c r="AM67" s="10">
        <f t="shared" ref="AM67:AM130" ca="1" si="21">47.7+AL67/10000</f>
        <v>47.761500000000005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0.51</v>
      </c>
      <c r="V68" s="20">
        <f t="shared" ca="1" si="15"/>
        <v>0.25</v>
      </c>
      <c r="W68" s="20">
        <f t="shared" ca="1" si="15"/>
        <v>0.55000000000000004</v>
      </c>
      <c r="X68">
        <f t="shared" ca="1" si="11"/>
        <v>36.677500000000002</v>
      </c>
      <c r="Y68">
        <f t="shared" ca="1" si="12"/>
        <v>47.655000000000001</v>
      </c>
      <c r="Z68" s="19">
        <f t="shared" ca="1" si="16"/>
        <v>0.28000000000000003</v>
      </c>
      <c r="AA68" s="19">
        <f t="shared" ca="1" si="16"/>
        <v>0.92</v>
      </c>
      <c r="AB68" s="19">
        <f t="shared" ca="1" si="16"/>
        <v>0.72</v>
      </c>
      <c r="AC68">
        <f t="shared" ca="1" si="13"/>
        <v>36.815469999999998</v>
      </c>
      <c r="AD68">
        <f t="shared" ca="1" si="14"/>
        <v>47.65204</v>
      </c>
      <c r="AE68">
        <f t="shared" ca="1" si="17"/>
        <v>8951</v>
      </c>
      <c r="AF68">
        <f t="shared" ca="1" si="18"/>
        <v>36.895099999999999</v>
      </c>
      <c r="AI68" s="10" t="s">
        <v>39</v>
      </c>
      <c r="AJ68" t="str">
        <f t="shared" si="19"/>
        <v>BMP-2  #67</v>
      </c>
      <c r="AL68" s="10">
        <f t="shared" ca="1" si="20"/>
        <v>680</v>
      </c>
      <c r="AM68" s="10">
        <f t="shared" ca="1" si="21"/>
        <v>47.768000000000001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0.42</v>
      </c>
      <c r="V69" s="20">
        <f t="shared" ca="1" si="15"/>
        <v>0.68</v>
      </c>
      <c r="W69" s="20">
        <f t="shared" ca="1" si="15"/>
        <v>0.56000000000000005</v>
      </c>
      <c r="X69">
        <f t="shared" ca="1" si="11"/>
        <v>36.609900000000003</v>
      </c>
      <c r="Y69">
        <f t="shared" ca="1" si="12"/>
        <v>47.571359999999999</v>
      </c>
      <c r="Z69" s="19">
        <f t="shared" ca="1" si="16"/>
        <v>0.6</v>
      </c>
      <c r="AA69" s="19">
        <f t="shared" ca="1" si="16"/>
        <v>0.78</v>
      </c>
      <c r="AB69" s="19">
        <f t="shared" ca="1" si="16"/>
        <v>0.57999999999999996</v>
      </c>
      <c r="AC69">
        <f t="shared" ca="1" si="13"/>
        <v>36.805840000000003</v>
      </c>
      <c r="AD69">
        <f t="shared" ca="1" si="14"/>
        <v>47.681449999999998</v>
      </c>
      <c r="AE69">
        <f t="shared" ca="1" si="17"/>
        <v>905</v>
      </c>
      <c r="AF69">
        <f t="shared" ca="1" si="18"/>
        <v>36.090499999999999</v>
      </c>
      <c r="AI69" s="10" t="s">
        <v>40</v>
      </c>
      <c r="AJ69" t="str">
        <f t="shared" si="19"/>
        <v>BTR-80  #68</v>
      </c>
      <c r="AL69" s="10">
        <f t="shared" ca="1" si="20"/>
        <v>686</v>
      </c>
      <c r="AM69" s="10">
        <f t="shared" ca="1" si="21"/>
        <v>47.768600000000006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0.73</v>
      </c>
      <c r="V70" s="20">
        <f t="shared" ca="1" si="15"/>
        <v>0.62</v>
      </c>
      <c r="W70" s="20">
        <f t="shared" ca="1" si="15"/>
        <v>0.92</v>
      </c>
      <c r="X70">
        <f t="shared" ca="1" si="11"/>
        <v>36.751179999999998</v>
      </c>
      <c r="Y70">
        <f t="shared" ca="1" si="12"/>
        <v>47.687399999999997</v>
      </c>
      <c r="Z70" s="19">
        <f t="shared" ca="1" si="16"/>
        <v>0.75</v>
      </c>
      <c r="AA70" s="19">
        <f t="shared" ca="1" si="16"/>
        <v>0.17</v>
      </c>
      <c r="AB70" s="19">
        <f t="shared" ca="1" si="16"/>
        <v>0.43</v>
      </c>
      <c r="AC70">
        <f t="shared" ca="1" si="13"/>
        <v>36.82938</v>
      </c>
      <c r="AD70">
        <f t="shared" ca="1" si="14"/>
        <v>47.688249999999996</v>
      </c>
      <c r="AE70">
        <f t="shared" ca="1" si="17"/>
        <v>4733</v>
      </c>
      <c r="AF70">
        <f t="shared" ca="1" si="18"/>
        <v>36.473300000000002</v>
      </c>
      <c r="AI70" s="10" t="s">
        <v>39</v>
      </c>
      <c r="AJ70" t="str">
        <f t="shared" si="19"/>
        <v>BMP-2  #69</v>
      </c>
      <c r="AL70" s="10">
        <f t="shared" ca="1" si="20"/>
        <v>559</v>
      </c>
      <c r="AM70" s="10">
        <f t="shared" ca="1" si="21"/>
        <v>47.755900000000004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0.56999999999999995</v>
      </c>
      <c r="V71" s="20">
        <f t="shared" ca="1" si="15"/>
        <v>0.24</v>
      </c>
      <c r="W71" s="20">
        <f t="shared" ca="1" si="15"/>
        <v>0.01</v>
      </c>
      <c r="X71">
        <f t="shared" ca="1" si="11"/>
        <v>36.649479999999997</v>
      </c>
      <c r="Y71">
        <f t="shared" ca="1" si="12"/>
        <v>47.603000000000002</v>
      </c>
      <c r="Z71" s="19">
        <f t="shared" ca="1" si="16"/>
        <v>0.3</v>
      </c>
      <c r="AA71" s="19">
        <f t="shared" ca="1" si="16"/>
        <v>0.25</v>
      </c>
      <c r="AB71" s="19">
        <f t="shared" ca="1" si="16"/>
        <v>0.83</v>
      </c>
      <c r="AC71">
        <f t="shared" ca="1" si="13"/>
        <v>36.829250000000002</v>
      </c>
      <c r="AD71">
        <f t="shared" ca="1" si="14"/>
        <v>47.674999999999997</v>
      </c>
      <c r="AE71">
        <f t="shared" ca="1" si="17"/>
        <v>30</v>
      </c>
      <c r="AF71">
        <f t="shared" ca="1" si="18"/>
        <v>36.003</v>
      </c>
      <c r="AI71" s="10" t="s">
        <v>39</v>
      </c>
      <c r="AJ71" t="str">
        <f t="shared" si="19"/>
        <v>BMP-2  #70</v>
      </c>
      <c r="AL71" s="10">
        <f t="shared" ca="1" si="20"/>
        <v>947</v>
      </c>
      <c r="AM71" s="10">
        <f t="shared" ca="1" si="21"/>
        <v>47.794700000000006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0.22</v>
      </c>
      <c r="V72" s="20">
        <f t="shared" ca="1" si="15"/>
        <v>0.59</v>
      </c>
      <c r="W72" s="20">
        <f t="shared" ca="1" si="15"/>
        <v>0.72</v>
      </c>
      <c r="X72">
        <f t="shared" ca="1" si="11"/>
        <v>36.633800000000001</v>
      </c>
      <c r="Y72">
        <f t="shared" ca="1" si="12"/>
        <v>47.567880000000002</v>
      </c>
      <c r="Z72" s="19">
        <f t="shared" ca="1" si="16"/>
        <v>0.78</v>
      </c>
      <c r="AA72" s="19">
        <f t="shared" ca="1" si="16"/>
        <v>0.55000000000000004</v>
      </c>
      <c r="AB72" s="19">
        <f t="shared" ca="1" si="16"/>
        <v>0.44</v>
      </c>
      <c r="AC72">
        <f t="shared" ca="1" si="13"/>
        <v>36.812919999999998</v>
      </c>
      <c r="AD72">
        <f t="shared" ca="1" si="14"/>
        <v>47.679229999999997</v>
      </c>
      <c r="AE72">
        <f t="shared" ca="1" si="17"/>
        <v>8717</v>
      </c>
      <c r="AF72">
        <f t="shared" ca="1" si="18"/>
        <v>36.871699999999997</v>
      </c>
      <c r="AI72" s="10" t="s">
        <v>40</v>
      </c>
      <c r="AJ72" t="str">
        <f t="shared" si="19"/>
        <v>BTR-80  #71</v>
      </c>
      <c r="AL72" s="10">
        <f t="shared" ca="1" si="20"/>
        <v>23</v>
      </c>
      <c r="AM72" s="10">
        <f t="shared" ca="1" si="21"/>
        <v>47.702300000000001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0.47</v>
      </c>
      <c r="V73" s="20">
        <f t="shared" ca="1" si="15"/>
        <v>0.99</v>
      </c>
      <c r="W73" s="20">
        <f t="shared" ca="1" si="15"/>
        <v>0.09</v>
      </c>
      <c r="X73">
        <f t="shared" ca="1" si="11"/>
        <v>36.708449999999999</v>
      </c>
      <c r="Y73">
        <f t="shared" ca="1" si="12"/>
        <v>47.518909999999998</v>
      </c>
      <c r="Z73" s="19">
        <f t="shared" ca="1" si="16"/>
        <v>0.19</v>
      </c>
      <c r="AA73" s="19">
        <f t="shared" ca="1" si="16"/>
        <v>0.32</v>
      </c>
      <c r="AB73" s="19">
        <f t="shared" ca="1" si="16"/>
        <v>0.22</v>
      </c>
      <c r="AC73">
        <f t="shared" ca="1" si="13"/>
        <v>36.843780000000002</v>
      </c>
      <c r="AD73">
        <f t="shared" ca="1" si="14"/>
        <v>47.671720000000001</v>
      </c>
      <c r="AE73">
        <f t="shared" ca="1" si="17"/>
        <v>4736</v>
      </c>
      <c r="AF73">
        <f t="shared" ca="1" si="18"/>
        <v>36.473599999999998</v>
      </c>
      <c r="AI73" s="10" t="s">
        <v>39</v>
      </c>
      <c r="AJ73" t="str">
        <f t="shared" si="19"/>
        <v>BMP-2  #72</v>
      </c>
      <c r="AL73" s="10">
        <f t="shared" ca="1" si="20"/>
        <v>133</v>
      </c>
      <c r="AM73" s="10">
        <f t="shared" ca="1" si="21"/>
        <v>47.713300000000004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0.95</v>
      </c>
      <c r="V74" s="20">
        <f t="shared" ca="1" si="15"/>
        <v>0.59</v>
      </c>
      <c r="W74" s="20">
        <f t="shared" ca="1" si="15"/>
        <v>0.42</v>
      </c>
      <c r="X74">
        <f t="shared" ca="1" si="11"/>
        <v>36.709069999999997</v>
      </c>
      <c r="Y74">
        <f t="shared" ca="1" si="12"/>
        <v>47.610900000000001</v>
      </c>
      <c r="Z74" s="19">
        <f t="shared" ca="1" si="16"/>
        <v>0.31</v>
      </c>
      <c r="AA74" s="19">
        <f t="shared" ca="1" si="16"/>
        <v>0.31</v>
      </c>
      <c r="AB74" s="19">
        <f t="shared" ca="1" si="16"/>
        <v>0.61</v>
      </c>
      <c r="AC74">
        <f t="shared" ca="1" si="13"/>
        <v>36.833019999999998</v>
      </c>
      <c r="AD74">
        <f t="shared" ca="1" si="14"/>
        <v>47.672159999999998</v>
      </c>
      <c r="AE74">
        <f t="shared" ca="1" si="17"/>
        <v>619</v>
      </c>
      <c r="AF74">
        <f t="shared" ca="1" si="18"/>
        <v>36.061900000000001</v>
      </c>
      <c r="AI74" s="10" t="s">
        <v>39</v>
      </c>
      <c r="AJ74" t="str">
        <f t="shared" si="19"/>
        <v>BMP-2  #73</v>
      </c>
      <c r="AL74" s="10">
        <f t="shared" ca="1" si="20"/>
        <v>407</v>
      </c>
      <c r="AM74" s="10">
        <f t="shared" ca="1" si="21"/>
        <v>47.740700000000004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0.73</v>
      </c>
      <c r="V75" s="20">
        <f t="shared" ca="1" si="15"/>
        <v>0.66</v>
      </c>
      <c r="W75" s="20">
        <f t="shared" ca="1" si="15"/>
        <v>0.55000000000000004</v>
      </c>
      <c r="X75">
        <f t="shared" ca="1" si="11"/>
        <v>36.725920000000002</v>
      </c>
      <c r="Y75">
        <f t="shared" ca="1" si="12"/>
        <v>47.62688</v>
      </c>
      <c r="Z75" s="19">
        <f t="shared" ca="1" si="16"/>
        <v>0.21</v>
      </c>
      <c r="AA75" s="19">
        <f t="shared" ca="1" si="16"/>
        <v>7.0000000000000007E-2</v>
      </c>
      <c r="AB75" s="19">
        <f t="shared" ca="1" si="16"/>
        <v>0.28999999999999998</v>
      </c>
      <c r="AC75">
        <f t="shared" ca="1" si="13"/>
        <v>36.846159999999998</v>
      </c>
      <c r="AD75">
        <f t="shared" ca="1" si="14"/>
        <v>47.686770000000003</v>
      </c>
      <c r="AE75">
        <f t="shared" ca="1" si="17"/>
        <v>989</v>
      </c>
      <c r="AF75">
        <f t="shared" ca="1" si="18"/>
        <v>36.0989</v>
      </c>
      <c r="AI75" s="10" t="s">
        <v>40</v>
      </c>
      <c r="AJ75" t="str">
        <f t="shared" si="19"/>
        <v>BTR-80  #74</v>
      </c>
      <c r="AL75" s="10">
        <f t="shared" ca="1" si="20"/>
        <v>309</v>
      </c>
      <c r="AM75" s="10">
        <f t="shared" ca="1" si="21"/>
        <v>47.730900000000005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0.82</v>
      </c>
      <c r="V76" s="20">
        <f t="shared" ca="1" si="15"/>
        <v>0.95</v>
      </c>
      <c r="W76" s="20">
        <f t="shared" ca="1" si="15"/>
        <v>0.45</v>
      </c>
      <c r="X76">
        <f t="shared" ca="1" si="11"/>
        <v>36.741329999999998</v>
      </c>
      <c r="Y76">
        <f t="shared" ca="1" si="12"/>
        <v>47.592790000000001</v>
      </c>
      <c r="Z76" s="19">
        <f t="shared" ca="1" si="16"/>
        <v>0.55000000000000004</v>
      </c>
      <c r="AA76" s="19">
        <f t="shared" ca="1" si="16"/>
        <v>0.84</v>
      </c>
      <c r="AB76" s="19">
        <f t="shared" ca="1" si="16"/>
        <v>0.05</v>
      </c>
      <c r="AC76">
        <f t="shared" ca="1" si="13"/>
        <v>36.804169999999999</v>
      </c>
      <c r="AD76">
        <f t="shared" ca="1" si="14"/>
        <v>47.656469999999999</v>
      </c>
      <c r="AE76">
        <f t="shared" ca="1" si="17"/>
        <v>900</v>
      </c>
      <c r="AF76">
        <f t="shared" ca="1" si="18"/>
        <v>36.090000000000003</v>
      </c>
      <c r="AI76" s="10" t="s">
        <v>39</v>
      </c>
      <c r="AJ76" t="str">
        <f t="shared" si="19"/>
        <v>BMP-2  #75</v>
      </c>
      <c r="AL76" s="10">
        <f t="shared" ca="1" si="20"/>
        <v>590</v>
      </c>
      <c r="AM76" s="10">
        <f t="shared" ca="1" si="21"/>
        <v>47.759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0.8</v>
      </c>
      <c r="V77" s="20">
        <f t="shared" ca="1" si="15"/>
        <v>0.36</v>
      </c>
      <c r="W77" s="20">
        <f t="shared" ca="1" si="15"/>
        <v>0.55000000000000004</v>
      </c>
      <c r="X77">
        <f t="shared" ca="1" si="11"/>
        <v>36.692999999999998</v>
      </c>
      <c r="Y77">
        <f t="shared" ca="1" si="12"/>
        <v>47.646000000000001</v>
      </c>
      <c r="Z77" s="19">
        <f t="shared" ca="1" si="16"/>
        <v>0.17</v>
      </c>
      <c r="AA77" s="19">
        <f t="shared" ca="1" si="16"/>
        <v>0.87</v>
      </c>
      <c r="AB77" s="19">
        <f t="shared" ca="1" si="16"/>
        <v>0.31</v>
      </c>
      <c r="AC77">
        <f t="shared" ca="1" si="13"/>
        <v>36.835540000000002</v>
      </c>
      <c r="AD77">
        <f t="shared" ca="1" si="14"/>
        <v>47.653359999999999</v>
      </c>
      <c r="AE77">
        <f t="shared" ca="1" si="17"/>
        <v>2589</v>
      </c>
      <c r="AF77">
        <f t="shared" ca="1" si="18"/>
        <v>36.258899999999997</v>
      </c>
      <c r="AI77" s="10" t="s">
        <v>39</v>
      </c>
      <c r="AJ77" t="str">
        <f t="shared" si="19"/>
        <v>BMP-2  #76</v>
      </c>
      <c r="AL77" s="10">
        <f t="shared" ca="1" si="20"/>
        <v>124</v>
      </c>
      <c r="AM77" s="10">
        <f t="shared" ca="1" si="21"/>
        <v>47.712400000000002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0.33</v>
      </c>
      <c r="V78" s="20">
        <f t="shared" ca="1" si="15"/>
        <v>0.33</v>
      </c>
      <c r="W78" s="20">
        <f t="shared" ca="1" si="15"/>
        <v>0.95</v>
      </c>
      <c r="X78">
        <f t="shared" ca="1" si="11"/>
        <v>36.651699999999998</v>
      </c>
      <c r="Y78">
        <f t="shared" ca="1" si="12"/>
        <v>47.587980000000002</v>
      </c>
      <c r="Z78" s="19">
        <f t="shared" ca="1" si="16"/>
        <v>0.56999999999999995</v>
      </c>
      <c r="AA78" s="19">
        <f t="shared" ca="1" si="16"/>
        <v>0.15</v>
      </c>
      <c r="AB78" s="19">
        <f t="shared" ca="1" si="16"/>
        <v>0.82</v>
      </c>
      <c r="AC78">
        <f t="shared" ca="1" si="13"/>
        <v>36.830640000000002</v>
      </c>
      <c r="AD78">
        <f t="shared" ca="1" si="14"/>
        <v>47.696510000000004</v>
      </c>
      <c r="AE78">
        <f t="shared" ca="1" si="17"/>
        <v>3556</v>
      </c>
      <c r="AF78">
        <f t="shared" ca="1" si="18"/>
        <v>36.355600000000003</v>
      </c>
      <c r="AI78" s="10" t="s">
        <v>40</v>
      </c>
      <c r="AJ78" t="str">
        <f t="shared" si="19"/>
        <v>BTR-80  #77</v>
      </c>
      <c r="AL78" s="10">
        <f t="shared" ca="1" si="20"/>
        <v>533</v>
      </c>
      <c r="AM78" s="10">
        <f t="shared" ca="1" si="21"/>
        <v>47.753300000000003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0.18</v>
      </c>
      <c r="V79" s="20">
        <f t="shared" ca="1" si="15"/>
        <v>0.22</v>
      </c>
      <c r="W79" s="20">
        <f t="shared" ca="1" si="15"/>
        <v>0.1</v>
      </c>
      <c r="X79">
        <f t="shared" ca="1" si="11"/>
        <v>36.562480000000001</v>
      </c>
      <c r="Y79">
        <f t="shared" ca="1" si="12"/>
        <v>47.648409999999998</v>
      </c>
      <c r="Z79" s="19">
        <f t="shared" ca="1" si="16"/>
        <v>0.19</v>
      </c>
      <c r="AA79" s="19">
        <f t="shared" ca="1" si="16"/>
        <v>0.66</v>
      </c>
      <c r="AB79" s="19">
        <f t="shared" ca="1" si="16"/>
        <v>0.04</v>
      </c>
      <c r="AC79">
        <f t="shared" ca="1" si="13"/>
        <v>36.848379999999999</v>
      </c>
      <c r="AD79">
        <f t="shared" ca="1" si="14"/>
        <v>47.659379999999999</v>
      </c>
      <c r="AE79">
        <f t="shared" ca="1" si="17"/>
        <v>2915</v>
      </c>
      <c r="AF79">
        <f t="shared" ca="1" si="18"/>
        <v>36.291499999999999</v>
      </c>
      <c r="AI79" s="10" t="s">
        <v>41</v>
      </c>
      <c r="AJ79" t="str">
        <f t="shared" si="19"/>
        <v>Infantry Squad  #78</v>
      </c>
      <c r="AL79" s="10">
        <f t="shared" ca="1" si="20"/>
        <v>133</v>
      </c>
      <c r="AM79" s="10">
        <f t="shared" ca="1" si="21"/>
        <v>47.713300000000004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0.6</v>
      </c>
      <c r="V80" s="20">
        <f t="shared" ca="1" si="15"/>
        <v>0.04</v>
      </c>
      <c r="W80" s="20">
        <f t="shared" ca="1" si="15"/>
        <v>0.36</v>
      </c>
      <c r="X80">
        <f t="shared" ca="1" si="11"/>
        <v>36.627200000000002</v>
      </c>
      <c r="Y80">
        <f t="shared" ca="1" si="12"/>
        <v>47.674399999999999</v>
      </c>
      <c r="Z80" s="19">
        <f t="shared" ca="1" si="16"/>
        <v>0.89</v>
      </c>
      <c r="AA80" s="19">
        <f t="shared" ca="1" si="16"/>
        <v>0.12</v>
      </c>
      <c r="AB80" s="19">
        <f t="shared" ca="1" si="16"/>
        <v>0.18</v>
      </c>
      <c r="AC80">
        <f t="shared" ca="1" si="13"/>
        <v>36.832680000000003</v>
      </c>
      <c r="AD80">
        <f t="shared" ca="1" si="14"/>
        <v>47.6858</v>
      </c>
      <c r="AE80">
        <f t="shared" ca="1" si="17"/>
        <v>4822</v>
      </c>
      <c r="AF80">
        <f t="shared" ca="1" si="18"/>
        <v>36.482199999999999</v>
      </c>
      <c r="AI80" s="10" t="s">
        <v>41</v>
      </c>
      <c r="AJ80" t="str">
        <f t="shared" si="19"/>
        <v>Infantry Squad  #79</v>
      </c>
      <c r="AL80" s="10">
        <f t="shared" ca="1" si="20"/>
        <v>813</v>
      </c>
      <c r="AM80" s="10">
        <f t="shared" ca="1" si="21"/>
        <v>47.781300000000002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0.41</v>
      </c>
      <c r="V81" s="20">
        <f t="shared" ca="1" si="15"/>
        <v>0.85</v>
      </c>
      <c r="W81" s="20">
        <f t="shared" ca="1" si="15"/>
        <v>0.73</v>
      </c>
      <c r="X81">
        <f t="shared" ca="1" si="11"/>
        <v>36.642409999999998</v>
      </c>
      <c r="Y81">
        <f t="shared" ca="1" si="12"/>
        <v>47.540500000000002</v>
      </c>
      <c r="Z81" s="19">
        <f t="shared" ca="1" si="16"/>
        <v>0.41</v>
      </c>
      <c r="AA81" s="19">
        <f t="shared" ca="1" si="16"/>
        <v>0.74</v>
      </c>
      <c r="AB81" s="19">
        <f t="shared" ca="1" si="16"/>
        <v>0.14000000000000001</v>
      </c>
      <c r="AC81">
        <f t="shared" ca="1" si="13"/>
        <v>36.843980000000002</v>
      </c>
      <c r="AD81">
        <f t="shared" ca="1" si="14"/>
        <v>47.65699</v>
      </c>
      <c r="AE81">
        <f t="shared" ca="1" si="17"/>
        <v>7891</v>
      </c>
      <c r="AF81">
        <f t="shared" ca="1" si="18"/>
        <v>36.789099999999998</v>
      </c>
      <c r="AI81" s="10" t="s">
        <v>41</v>
      </c>
      <c r="AJ81" t="str">
        <f t="shared" si="19"/>
        <v>Infantry Squad  #80</v>
      </c>
      <c r="AL81" s="10">
        <f t="shared" ca="1" si="20"/>
        <v>589</v>
      </c>
      <c r="AM81" s="10">
        <f t="shared" ca="1" si="21"/>
        <v>47.758900000000004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0.79</v>
      </c>
      <c r="V82" s="20">
        <f t="shared" ca="1" si="15"/>
        <v>0.3</v>
      </c>
      <c r="W82" s="20">
        <f t="shared" ca="1" si="15"/>
        <v>0.73</v>
      </c>
      <c r="X82">
        <f t="shared" ca="1" si="11"/>
        <v>36.694760000000002</v>
      </c>
      <c r="Y82">
        <f t="shared" ca="1" si="12"/>
        <v>47.67042</v>
      </c>
      <c r="Z82" s="19">
        <f t="shared" ca="1" si="16"/>
        <v>0.97</v>
      </c>
      <c r="AA82" s="19">
        <f t="shared" ca="1" si="16"/>
        <v>0.27</v>
      </c>
      <c r="AB82" s="19">
        <f t="shared" ca="1" si="16"/>
        <v>0.57999999999999996</v>
      </c>
      <c r="AC82">
        <f t="shared" ca="1" si="13"/>
        <v>36.824019999999997</v>
      </c>
      <c r="AD82">
        <f t="shared" ca="1" si="14"/>
        <v>47.68909</v>
      </c>
      <c r="AE82">
        <f t="shared" ca="1" si="17"/>
        <v>9039</v>
      </c>
      <c r="AF82">
        <f t="shared" ca="1" si="18"/>
        <v>36.9039</v>
      </c>
      <c r="AI82" s="10" t="s">
        <v>37</v>
      </c>
      <c r="AJ82" t="str">
        <f t="shared" si="19"/>
        <v>T-72B3 Tank  #81</v>
      </c>
      <c r="AL82" s="10">
        <f t="shared" ca="1" si="20"/>
        <v>164</v>
      </c>
      <c r="AM82" s="10">
        <f t="shared" ca="1" si="21"/>
        <v>47.7164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0.28999999999999998</v>
      </c>
      <c r="V83" s="20">
        <f t="shared" ca="1" si="15"/>
        <v>7.0000000000000007E-2</v>
      </c>
      <c r="W83" s="20">
        <f t="shared" ca="1" si="15"/>
        <v>0.21</v>
      </c>
      <c r="X83">
        <f t="shared" ca="1" si="11"/>
        <v>36.584650000000003</v>
      </c>
      <c r="Y83">
        <f t="shared" ca="1" si="12"/>
        <v>47.667990000000003</v>
      </c>
      <c r="Z83" s="19">
        <f t="shared" ca="1" si="16"/>
        <v>0.45</v>
      </c>
      <c r="AA83" s="19">
        <f t="shared" ca="1" si="16"/>
        <v>0.26</v>
      </c>
      <c r="AB83" s="19">
        <f t="shared" ca="1" si="16"/>
        <v>0.3</v>
      </c>
      <c r="AC83">
        <f t="shared" ca="1" si="13"/>
        <v>36.842350000000003</v>
      </c>
      <c r="AD83">
        <f t="shared" ca="1" si="14"/>
        <v>47.674500000000002</v>
      </c>
      <c r="AE83">
        <f t="shared" ca="1" si="17"/>
        <v>3237</v>
      </c>
      <c r="AF83">
        <f t="shared" ca="1" si="18"/>
        <v>36.323700000000002</v>
      </c>
      <c r="AI83" s="10" t="s">
        <v>37</v>
      </c>
      <c r="AJ83" t="str">
        <f t="shared" si="19"/>
        <v>T-72B3 Tank  #82</v>
      </c>
      <c r="AL83" s="10">
        <f t="shared" ca="1" si="20"/>
        <v>614</v>
      </c>
      <c r="AM83" s="10">
        <f t="shared" ca="1" si="21"/>
        <v>47.761400000000002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0.19</v>
      </c>
      <c r="V84" s="20">
        <f t="shared" ca="1" si="15"/>
        <v>1</v>
      </c>
      <c r="W84" s="20">
        <f t="shared" ca="1" si="15"/>
        <v>0.97</v>
      </c>
      <c r="X84">
        <f t="shared" ca="1" si="11"/>
        <v>36.694000000000003</v>
      </c>
      <c r="Y84">
        <f t="shared" ca="1" si="12"/>
        <v>47.503</v>
      </c>
      <c r="Z84" s="19">
        <f t="shared" ca="1" si="16"/>
        <v>0.23</v>
      </c>
      <c r="AA84" s="19">
        <f t="shared" ca="1" si="16"/>
        <v>0.38</v>
      </c>
      <c r="AB84" s="19">
        <f t="shared" ca="1" si="16"/>
        <v>0.28999999999999998</v>
      </c>
      <c r="AC84">
        <f t="shared" ca="1" si="13"/>
        <v>36.841059999999999</v>
      </c>
      <c r="AD84">
        <f t="shared" ca="1" si="14"/>
        <v>47.669179999999997</v>
      </c>
      <c r="AE84">
        <f t="shared" ca="1" si="17"/>
        <v>4437</v>
      </c>
      <c r="AF84">
        <f t="shared" ca="1" si="18"/>
        <v>36.4437</v>
      </c>
      <c r="AI84" s="10" t="s">
        <v>38</v>
      </c>
      <c r="AJ84" t="str">
        <f t="shared" si="19"/>
        <v>T-80BVM Tank  #83</v>
      </c>
      <c r="AL84" s="10">
        <f t="shared" ca="1" si="20"/>
        <v>984</v>
      </c>
      <c r="AM84" s="10">
        <f t="shared" ca="1" si="21"/>
        <v>47.798400000000001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0.2</v>
      </c>
      <c r="V85" s="20">
        <f t="shared" ca="1" si="15"/>
        <v>0.12</v>
      </c>
      <c r="W85" s="20">
        <f t="shared" ca="1" si="15"/>
        <v>0.91</v>
      </c>
      <c r="X85">
        <f t="shared" ca="1" si="11"/>
        <v>36.628410000000002</v>
      </c>
      <c r="Y85">
        <f t="shared" ca="1" si="12"/>
        <v>47.633839999999999</v>
      </c>
      <c r="Z85" s="19">
        <f t="shared" ca="1" si="16"/>
        <v>0.01</v>
      </c>
      <c r="AA85" s="19">
        <f t="shared" ca="1" si="16"/>
        <v>0.82</v>
      </c>
      <c r="AB85" s="19">
        <f t="shared" ca="1" si="16"/>
        <v>0.34</v>
      </c>
      <c r="AC85">
        <f t="shared" ca="1" si="13"/>
        <v>36.834609999999998</v>
      </c>
      <c r="AD85">
        <f t="shared" ca="1" si="14"/>
        <v>47.654719999999998</v>
      </c>
      <c r="AE85">
        <f t="shared" ca="1" si="17"/>
        <v>2345</v>
      </c>
      <c r="AF85">
        <f t="shared" ca="1" si="18"/>
        <v>36.234499999999997</v>
      </c>
      <c r="AI85" s="10" t="s">
        <v>37</v>
      </c>
      <c r="AJ85" t="str">
        <f t="shared" si="19"/>
        <v>T-72B3 Tank  #84</v>
      </c>
      <c r="AL85" s="10">
        <f t="shared" ca="1" si="20"/>
        <v>315</v>
      </c>
      <c r="AM85" s="10">
        <f t="shared" ca="1" si="21"/>
        <v>47.731500000000004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0.39</v>
      </c>
      <c r="V86" s="20">
        <f t="shared" ca="1" si="15"/>
        <v>0.28999999999999998</v>
      </c>
      <c r="W86" s="20">
        <f t="shared" ca="1" si="15"/>
        <v>0.14000000000000001</v>
      </c>
      <c r="X86">
        <f t="shared" ca="1" si="11"/>
        <v>36.561230000000002</v>
      </c>
      <c r="Y86">
        <f t="shared" ca="1" si="12"/>
        <v>47.63861</v>
      </c>
      <c r="Z86" s="19">
        <f t="shared" ca="1" si="16"/>
        <v>0.47</v>
      </c>
      <c r="AA86" s="19">
        <f t="shared" ca="1" si="16"/>
        <v>0.02</v>
      </c>
      <c r="AB86" s="19">
        <f t="shared" ca="1" si="16"/>
        <v>0.56000000000000005</v>
      </c>
      <c r="AC86">
        <f t="shared" ca="1" si="13"/>
        <v>36.846040000000002</v>
      </c>
      <c r="AD86">
        <f t="shared" ca="1" si="14"/>
        <v>47.692929999999997</v>
      </c>
      <c r="AE86">
        <f t="shared" ca="1" si="17"/>
        <v>2116</v>
      </c>
      <c r="AF86">
        <f t="shared" ca="1" si="18"/>
        <v>36.211599999999997</v>
      </c>
      <c r="AI86" s="10" t="s">
        <v>38</v>
      </c>
      <c r="AJ86" t="str">
        <f t="shared" si="19"/>
        <v>T-80BVM Tank  #85</v>
      </c>
      <c r="AL86" s="10">
        <f t="shared" ca="1" si="20"/>
        <v>3</v>
      </c>
      <c r="AM86" s="10">
        <f t="shared" ca="1" si="21"/>
        <v>47.700300000000006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0.92</v>
      </c>
      <c r="V87" s="20">
        <f t="shared" ca="1" si="15"/>
        <v>0.86</v>
      </c>
      <c r="W87" s="20">
        <f t="shared" ca="1" si="15"/>
        <v>0.9</v>
      </c>
      <c r="X87">
        <f t="shared" ca="1" si="11"/>
        <v>36.776200000000003</v>
      </c>
      <c r="Y87">
        <f t="shared" ca="1" si="12"/>
        <v>47.681449999999998</v>
      </c>
      <c r="Z87" s="19">
        <f t="shared" ca="1" si="16"/>
        <v>0.44</v>
      </c>
      <c r="AA87" s="19">
        <f t="shared" ca="1" si="16"/>
        <v>0.23</v>
      </c>
      <c r="AB87" s="19">
        <f t="shared" ca="1" si="16"/>
        <v>0.87</v>
      </c>
      <c r="AC87">
        <f t="shared" ca="1" si="13"/>
        <v>36.829140000000002</v>
      </c>
      <c r="AD87">
        <f t="shared" ca="1" si="14"/>
        <v>47.676020000000001</v>
      </c>
      <c r="AE87">
        <f t="shared" ca="1" si="17"/>
        <v>6753</v>
      </c>
      <c r="AF87">
        <f t="shared" ca="1" si="18"/>
        <v>36.6753</v>
      </c>
      <c r="AI87" s="10" t="s">
        <v>39</v>
      </c>
      <c r="AJ87" t="str">
        <f t="shared" si="19"/>
        <v>BMP-2  #86</v>
      </c>
      <c r="AL87" s="10">
        <f t="shared" ca="1" si="20"/>
        <v>227</v>
      </c>
      <c r="AM87" s="10">
        <f t="shared" ca="1" si="21"/>
        <v>47.722700000000003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0.41</v>
      </c>
      <c r="V88" s="20">
        <f t="shared" ca="1" si="15"/>
        <v>0.21</v>
      </c>
      <c r="W88" s="20">
        <f t="shared" ca="1" si="15"/>
        <v>0.12</v>
      </c>
      <c r="X88">
        <f t="shared" ca="1" si="11"/>
        <v>36.565170000000002</v>
      </c>
      <c r="Y88">
        <f t="shared" ca="1" si="12"/>
        <v>47.648679999999999</v>
      </c>
      <c r="Z88" s="19">
        <f t="shared" ca="1" si="16"/>
        <v>0.03</v>
      </c>
      <c r="AA88" s="19">
        <f t="shared" ca="1" si="16"/>
        <v>0.62</v>
      </c>
      <c r="AB88" s="19">
        <f t="shared" ca="1" si="16"/>
        <v>0.81</v>
      </c>
      <c r="AC88">
        <f t="shared" ca="1" si="13"/>
        <v>36.818109999999997</v>
      </c>
      <c r="AD88">
        <f t="shared" ca="1" si="14"/>
        <v>47.660629999999998</v>
      </c>
      <c r="AE88">
        <f t="shared" ca="1" si="17"/>
        <v>2725</v>
      </c>
      <c r="AF88">
        <f t="shared" ca="1" si="18"/>
        <v>36.272500000000001</v>
      </c>
      <c r="AI88" s="10" t="s">
        <v>39</v>
      </c>
      <c r="AJ88" t="str">
        <f t="shared" si="19"/>
        <v>BMP-2  #87</v>
      </c>
      <c r="AL88" s="10">
        <f t="shared" ca="1" si="20"/>
        <v>186</v>
      </c>
      <c r="AM88" s="10">
        <f t="shared" ca="1" si="21"/>
        <v>47.718600000000002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0.64</v>
      </c>
      <c r="V89" s="20">
        <f t="shared" ca="1" si="15"/>
        <v>0.56000000000000005</v>
      </c>
      <c r="W89" s="20">
        <f t="shared" ca="1" si="15"/>
        <v>0</v>
      </c>
      <c r="X89">
        <f t="shared" ca="1" si="11"/>
        <v>36.67483</v>
      </c>
      <c r="Y89">
        <f t="shared" ca="1" si="12"/>
        <v>47.550330000000002</v>
      </c>
      <c r="Z89" s="19">
        <f t="shared" ca="1" si="16"/>
        <v>0.2</v>
      </c>
      <c r="AA89" s="19">
        <f t="shared" ca="1" si="16"/>
        <v>0.02</v>
      </c>
      <c r="AB89" s="19">
        <f t="shared" ca="1" si="16"/>
        <v>0.22</v>
      </c>
      <c r="AC89">
        <f t="shared" ca="1" si="13"/>
        <v>36.848439999999997</v>
      </c>
      <c r="AD89">
        <f t="shared" ca="1" si="14"/>
        <v>47.692929999999997</v>
      </c>
      <c r="AE89">
        <f t="shared" ca="1" si="17"/>
        <v>7130</v>
      </c>
      <c r="AF89">
        <f t="shared" ca="1" si="18"/>
        <v>36.713000000000001</v>
      </c>
      <c r="AI89" s="10" t="s">
        <v>40</v>
      </c>
      <c r="AJ89" t="str">
        <f t="shared" si="19"/>
        <v>BTR-80  #88</v>
      </c>
      <c r="AL89" s="10">
        <f t="shared" ca="1" si="20"/>
        <v>627</v>
      </c>
      <c r="AM89" s="10">
        <f t="shared" ca="1" si="21"/>
        <v>47.762700000000002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0.44</v>
      </c>
      <c r="V90" s="20">
        <f t="shared" ca="1" si="15"/>
        <v>0.22</v>
      </c>
      <c r="W90" s="20">
        <f t="shared" ca="1" si="15"/>
        <v>0.3</v>
      </c>
      <c r="X90">
        <f t="shared" ca="1" si="11"/>
        <v>36.660980000000002</v>
      </c>
      <c r="Y90">
        <f t="shared" ca="1" si="12"/>
        <v>47.634329999999999</v>
      </c>
      <c r="Z90" s="19">
        <f t="shared" ca="1" si="16"/>
        <v>0.14000000000000001</v>
      </c>
      <c r="AA90" s="19">
        <f t="shared" ca="1" si="16"/>
        <v>0.64</v>
      </c>
      <c r="AB90" s="19">
        <f t="shared" ca="1" si="16"/>
        <v>0.63</v>
      </c>
      <c r="AC90">
        <f t="shared" ca="1" si="13"/>
        <v>36.824800000000003</v>
      </c>
      <c r="AD90">
        <f t="shared" ca="1" si="14"/>
        <v>47.66</v>
      </c>
      <c r="AE90">
        <f t="shared" ca="1" si="17"/>
        <v>639</v>
      </c>
      <c r="AF90">
        <f t="shared" ca="1" si="18"/>
        <v>36.063899999999997</v>
      </c>
      <c r="AI90" s="10" t="s">
        <v>39</v>
      </c>
      <c r="AJ90" t="str">
        <f t="shared" si="19"/>
        <v>BMP-2  #89</v>
      </c>
      <c r="AL90" s="10">
        <f t="shared" ca="1" si="20"/>
        <v>389</v>
      </c>
      <c r="AM90" s="10">
        <f t="shared" ca="1" si="21"/>
        <v>47.738900000000001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0.35</v>
      </c>
      <c r="V91" s="20">
        <f t="shared" ca="1" si="15"/>
        <v>0.7</v>
      </c>
      <c r="W91" s="20">
        <f t="shared" ca="1" si="15"/>
        <v>0.15</v>
      </c>
      <c r="X91">
        <f t="shared" ca="1" si="11"/>
        <v>36.541429999999998</v>
      </c>
      <c r="Y91">
        <f t="shared" ca="1" si="12"/>
        <v>47.60378</v>
      </c>
      <c r="Z91" s="19">
        <f t="shared" ca="1" si="16"/>
        <v>0.21</v>
      </c>
      <c r="AA91" s="19">
        <f t="shared" ca="1" si="16"/>
        <v>0.5</v>
      </c>
      <c r="AB91" s="19">
        <f t="shared" ca="1" si="16"/>
        <v>0.05</v>
      </c>
      <c r="AC91">
        <f t="shared" ca="1" si="13"/>
        <v>36.848230000000001</v>
      </c>
      <c r="AD91">
        <f t="shared" ca="1" si="14"/>
        <v>47.664639999999999</v>
      </c>
      <c r="AE91">
        <f t="shared" ca="1" si="17"/>
        <v>9647</v>
      </c>
      <c r="AF91">
        <f t="shared" ca="1" si="18"/>
        <v>36.964700000000001</v>
      </c>
      <c r="AI91" s="10" t="s">
        <v>39</v>
      </c>
      <c r="AJ91" t="str">
        <f t="shared" si="19"/>
        <v>BMP-2  #90</v>
      </c>
      <c r="AL91" s="10">
        <f t="shared" ca="1" si="20"/>
        <v>444</v>
      </c>
      <c r="AM91" s="10">
        <f t="shared" ca="1" si="21"/>
        <v>47.744400000000006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0.73</v>
      </c>
      <c r="V92" s="20">
        <f t="shared" ca="1" si="15"/>
        <v>0.66</v>
      </c>
      <c r="W92" s="20">
        <f t="shared" ca="1" si="15"/>
        <v>0.15</v>
      </c>
      <c r="X92">
        <f t="shared" ca="1" si="11"/>
        <v>36.693429999999999</v>
      </c>
      <c r="Y92">
        <f t="shared" ca="1" si="12"/>
        <v>47.561889999999998</v>
      </c>
      <c r="Z92" s="19">
        <f t="shared" ca="1" si="16"/>
        <v>0.65</v>
      </c>
      <c r="AA92" s="19">
        <f t="shared" ca="1" si="16"/>
        <v>0.74</v>
      </c>
      <c r="AB92" s="19">
        <f t="shared" ca="1" si="16"/>
        <v>0.19</v>
      </c>
      <c r="AC92">
        <f t="shared" ca="1" si="13"/>
        <v>36.806989999999999</v>
      </c>
      <c r="AD92">
        <f t="shared" ca="1" si="14"/>
        <v>47.66516</v>
      </c>
      <c r="AE92">
        <f t="shared" ca="1" si="17"/>
        <v>9818</v>
      </c>
      <c r="AF92">
        <f t="shared" ca="1" si="18"/>
        <v>36.9818</v>
      </c>
      <c r="AI92" s="10" t="s">
        <v>40</v>
      </c>
      <c r="AJ92" t="str">
        <f t="shared" si="19"/>
        <v>BTR-80  #91</v>
      </c>
      <c r="AL92" s="10">
        <f t="shared" ca="1" si="20"/>
        <v>38</v>
      </c>
      <c r="AM92" s="10">
        <f t="shared" ca="1" si="21"/>
        <v>47.703800000000001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0.21</v>
      </c>
      <c r="V93" s="20">
        <f t="shared" ca="1" si="15"/>
        <v>0</v>
      </c>
      <c r="W93" s="20">
        <f t="shared" ca="1" si="15"/>
        <v>0.97</v>
      </c>
      <c r="X93">
        <f t="shared" ca="1" si="11"/>
        <v>36.6</v>
      </c>
      <c r="Y93">
        <f t="shared" ca="1" si="12"/>
        <v>47.7</v>
      </c>
      <c r="Z93" s="19">
        <f t="shared" ca="1" si="16"/>
        <v>0.83</v>
      </c>
      <c r="AA93" s="19">
        <f t="shared" ca="1" si="16"/>
        <v>0.55000000000000004</v>
      </c>
      <c r="AB93" s="19">
        <f t="shared" ca="1" si="16"/>
        <v>0.05</v>
      </c>
      <c r="AC93">
        <f t="shared" ca="1" si="13"/>
        <v>36.812919999999998</v>
      </c>
      <c r="AD93">
        <f t="shared" ca="1" si="14"/>
        <v>47.664769999999997</v>
      </c>
      <c r="AE93">
        <f t="shared" ca="1" si="17"/>
        <v>701</v>
      </c>
      <c r="AF93">
        <f t="shared" ca="1" si="18"/>
        <v>36.070099999999996</v>
      </c>
      <c r="AI93" s="10" t="s">
        <v>39</v>
      </c>
      <c r="AJ93" t="str">
        <f t="shared" si="19"/>
        <v>BMP-2  #92</v>
      </c>
      <c r="AL93" s="10">
        <f t="shared" ca="1" si="20"/>
        <v>867</v>
      </c>
      <c r="AM93" s="10">
        <f t="shared" ca="1" si="21"/>
        <v>47.786700000000003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1</v>
      </c>
      <c r="V94" s="20">
        <f t="shared" ca="1" si="15"/>
        <v>0.9</v>
      </c>
      <c r="W94" s="20">
        <f t="shared" ca="1" si="15"/>
        <v>0.68</v>
      </c>
      <c r="X94">
        <f t="shared" ca="1" si="11"/>
        <v>36.75938</v>
      </c>
      <c r="Y94">
        <f t="shared" ca="1" si="12"/>
        <v>47.639279999999999</v>
      </c>
      <c r="Z94" s="19">
        <f t="shared" ca="1" si="16"/>
        <v>0.91</v>
      </c>
      <c r="AA94" s="19">
        <f t="shared" ca="1" si="16"/>
        <v>0.19</v>
      </c>
      <c r="AB94" s="19">
        <f t="shared" ca="1" si="16"/>
        <v>0.31</v>
      </c>
      <c r="AC94">
        <f t="shared" ca="1" si="13"/>
        <v>36.828209999999999</v>
      </c>
      <c r="AD94">
        <f t="shared" ca="1" si="14"/>
        <v>47.684959999999997</v>
      </c>
      <c r="AE94">
        <f t="shared" ca="1" si="17"/>
        <v>7292</v>
      </c>
      <c r="AF94">
        <f t="shared" ca="1" si="18"/>
        <v>36.729199999999999</v>
      </c>
      <c r="AI94" s="10" t="s">
        <v>39</v>
      </c>
      <c r="AJ94" t="str">
        <f t="shared" si="19"/>
        <v>BMP-2  #93</v>
      </c>
      <c r="AL94" s="10">
        <f t="shared" ca="1" si="20"/>
        <v>78</v>
      </c>
      <c r="AM94" s="10">
        <f t="shared" ca="1" si="21"/>
        <v>47.707800000000006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0.09</v>
      </c>
      <c r="V95" s="20">
        <f t="shared" ca="1" si="15"/>
        <v>0.2</v>
      </c>
      <c r="W95" s="20">
        <f t="shared" ca="1" si="15"/>
        <v>0.19</v>
      </c>
      <c r="X95">
        <f t="shared" ca="1" si="11"/>
        <v>36.572270000000003</v>
      </c>
      <c r="Y95">
        <f t="shared" ca="1" si="12"/>
        <v>47.64678</v>
      </c>
      <c r="Z95" s="19">
        <f t="shared" ca="1" si="16"/>
        <v>0.41</v>
      </c>
      <c r="AA95" s="19">
        <f t="shared" ca="1" si="16"/>
        <v>0.18</v>
      </c>
      <c r="AB95" s="19">
        <f t="shared" ca="1" si="16"/>
        <v>0.81</v>
      </c>
      <c r="AC95">
        <f t="shared" ca="1" si="13"/>
        <v>36.832819999999998</v>
      </c>
      <c r="AD95">
        <f t="shared" ca="1" si="14"/>
        <v>47.678789999999999</v>
      </c>
      <c r="AE95">
        <f t="shared" ca="1" si="17"/>
        <v>3148</v>
      </c>
      <c r="AF95">
        <f t="shared" ca="1" si="18"/>
        <v>36.314799999999998</v>
      </c>
      <c r="AI95" s="10" t="s">
        <v>40</v>
      </c>
      <c r="AJ95" t="str">
        <f t="shared" si="19"/>
        <v>BTR-80  #94</v>
      </c>
      <c r="AL95" s="10">
        <f t="shared" ca="1" si="20"/>
        <v>22</v>
      </c>
      <c r="AM95" s="10">
        <f t="shared" ca="1" si="21"/>
        <v>47.702200000000005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0.56999999999999995</v>
      </c>
      <c r="V96" s="20">
        <f t="shared" ca="1" si="15"/>
        <v>0.86</v>
      </c>
      <c r="W96" s="20">
        <f t="shared" ca="1" si="15"/>
        <v>0.34</v>
      </c>
      <c r="X96">
        <f t="shared" ca="1" si="11"/>
        <v>36.724269999999997</v>
      </c>
      <c r="Y96">
        <f t="shared" ca="1" si="12"/>
        <v>47.577590000000001</v>
      </c>
      <c r="Z96" s="19">
        <f t="shared" ca="1" si="16"/>
        <v>0.9</v>
      </c>
      <c r="AA96" s="19">
        <f t="shared" ca="1" si="16"/>
        <v>0.66</v>
      </c>
      <c r="AB96" s="19">
        <f t="shared" ca="1" si="16"/>
        <v>0.65</v>
      </c>
      <c r="AC96">
        <f t="shared" ca="1" si="13"/>
        <v>36.809379999999997</v>
      </c>
      <c r="AD96">
        <f t="shared" ca="1" si="14"/>
        <v>47.685780000000001</v>
      </c>
      <c r="AE96">
        <f t="shared" ca="1" si="17"/>
        <v>9559</v>
      </c>
      <c r="AF96">
        <f t="shared" ca="1" si="18"/>
        <v>36.9559</v>
      </c>
      <c r="AI96" s="10" t="s">
        <v>39</v>
      </c>
      <c r="AJ96" t="str">
        <f t="shared" si="19"/>
        <v>BMP-2  #95</v>
      </c>
      <c r="AL96" s="10">
        <f t="shared" ca="1" si="20"/>
        <v>325</v>
      </c>
      <c r="AM96" s="10">
        <f t="shared" ca="1" si="21"/>
        <v>47.732500000000002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0.74</v>
      </c>
      <c r="V97" s="20">
        <f t="shared" ca="1" si="15"/>
        <v>0.71</v>
      </c>
      <c r="W97" s="20">
        <f t="shared" ca="1" si="15"/>
        <v>0.95</v>
      </c>
      <c r="X97">
        <f t="shared" ref="X97:X160" ca="1" si="22">ROUND(IF(U97 &lt; $T$9,
 (1-SQRT(V97))*$T$3 + SQRT(V97)*(1-W97)*$T$4 + SQRT(V97)*W97*$T$5,
 (1-SQRT(V97))*$T$3 + SQRT(V97)*(1-W97)*$T$5 + SQRT(V97)*W97*$T$6
)/100,5)</f>
        <v>36.764310000000002</v>
      </c>
      <c r="Y97">
        <f t="shared" ref="Y97:Y160" ca="1" si="23">ROUND(IF(U97&lt;$T$9,(1-SQRT(V97))*$S$3+SQRT(V97)*(1-W97)*$S$4+SQRT(V97)*W97*$S$5,(1-SQRT(V97))*$S$3+SQRT(V97)*(1-W97)*$S$5+SQRT(V97)*W97*$S$6)/100,5)</f>
        <v>47.691569999999999</v>
      </c>
      <c r="Z97" s="19">
        <f t="shared" ca="1" si="16"/>
        <v>0.46</v>
      </c>
      <c r="AA97" s="19">
        <f t="shared" ca="1" si="16"/>
        <v>0.16</v>
      </c>
      <c r="AB97" s="19">
        <f t="shared" ca="1" si="16"/>
        <v>0.96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36.830800000000004</v>
      </c>
      <c r="AD97">
        <f t="shared" ref="AD97:AD160" ca="1" si="25">ROUND(IF(Z97&lt;$T$18,
(1-SQRT(AA97))*$S$12+SQRT(AA97)*(1-AB97)*$S$13+SQRT(AA97)*AB97*$S$14,
(1-SQRT(AA97))*$S$12+SQRT(AA97)*(1-AB97)*$S$14+SQRT(AA97)*AB97*$S$15)/100,5)</f>
        <v>47.68</v>
      </c>
      <c r="AE97">
        <f t="shared" ca="1" si="17"/>
        <v>2030</v>
      </c>
      <c r="AF97">
        <f t="shared" ca="1" si="18"/>
        <v>36.203000000000003</v>
      </c>
      <c r="AI97" s="10" t="s">
        <v>39</v>
      </c>
      <c r="AJ97" t="str">
        <f t="shared" si="19"/>
        <v>BMP-2  #96</v>
      </c>
      <c r="AL97" s="10">
        <f t="shared" ca="1" si="20"/>
        <v>585</v>
      </c>
      <c r="AM97" s="10">
        <f t="shared" ca="1" si="21"/>
        <v>47.758500000000005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0.63</v>
      </c>
      <c r="V98" s="20">
        <f t="shared" ca="1" si="26"/>
        <v>0.68</v>
      </c>
      <c r="W98" s="20">
        <f t="shared" ca="1" si="26"/>
        <v>0.42</v>
      </c>
      <c r="X98">
        <f t="shared" ca="1" si="22"/>
        <v>36.717100000000002</v>
      </c>
      <c r="Y98">
        <f t="shared" ca="1" si="23"/>
        <v>47.604340000000001</v>
      </c>
      <c r="Z98" s="19">
        <f t="shared" ref="Z98:AB161" ca="1" si="27">RANDBETWEEN(0,100)/100</f>
        <v>0</v>
      </c>
      <c r="AA98" s="19">
        <f t="shared" ca="1" si="27"/>
        <v>0.96</v>
      </c>
      <c r="AB98" s="19">
        <f t="shared" ca="1" si="27"/>
        <v>0.45</v>
      </c>
      <c r="AC98">
        <f t="shared" ca="1" si="24"/>
        <v>36.827950000000001</v>
      </c>
      <c r="AD98">
        <f t="shared" ca="1" si="25"/>
        <v>47.651009999999999</v>
      </c>
      <c r="AE98">
        <f t="shared" ca="1" si="17"/>
        <v>2183</v>
      </c>
      <c r="AF98">
        <f t="shared" ca="1" si="18"/>
        <v>36.218299999999999</v>
      </c>
      <c r="AI98" s="10" t="s">
        <v>40</v>
      </c>
      <c r="AJ98" t="str">
        <f t="shared" si="19"/>
        <v>BTR-80  #97</v>
      </c>
      <c r="AL98" s="10">
        <f t="shared" ca="1" si="20"/>
        <v>660</v>
      </c>
      <c r="AM98" s="10">
        <f t="shared" ca="1" si="21"/>
        <v>47.766000000000005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0.28999999999999998</v>
      </c>
      <c r="V99" s="20">
        <f t="shared" ca="1" si="26"/>
        <v>0.23</v>
      </c>
      <c r="W99" s="20">
        <f t="shared" ca="1" si="26"/>
        <v>0.08</v>
      </c>
      <c r="X99">
        <f t="shared" ca="1" si="22"/>
        <v>36.559719999999999</v>
      </c>
      <c r="Y99">
        <f t="shared" ca="1" si="23"/>
        <v>47.648209999999999</v>
      </c>
      <c r="Z99" s="19">
        <f t="shared" ca="1" si="27"/>
        <v>0.1</v>
      </c>
      <c r="AA99" s="19">
        <f t="shared" ca="1" si="27"/>
        <v>0.04</v>
      </c>
      <c r="AB99" s="19">
        <f t="shared" ca="1" si="27"/>
        <v>0.85</v>
      </c>
      <c r="AC99">
        <f t="shared" ca="1" si="24"/>
        <v>36.841500000000003</v>
      </c>
      <c r="AD99">
        <f t="shared" ca="1" si="25"/>
        <v>47.69</v>
      </c>
      <c r="AE99">
        <f t="shared" ca="1" si="17"/>
        <v>930</v>
      </c>
      <c r="AF99">
        <f t="shared" ca="1" si="18"/>
        <v>36.093000000000004</v>
      </c>
      <c r="AI99" s="10" t="s">
        <v>41</v>
      </c>
      <c r="AJ99" t="str">
        <f t="shared" si="19"/>
        <v>Infantry Squad  #98</v>
      </c>
      <c r="AL99" s="10">
        <f t="shared" ca="1" si="20"/>
        <v>649</v>
      </c>
      <c r="AM99" s="10">
        <f t="shared" ca="1" si="21"/>
        <v>47.764900000000004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0.43</v>
      </c>
      <c r="V100" s="20">
        <f t="shared" ca="1" si="26"/>
        <v>0.56999999999999995</v>
      </c>
      <c r="W100" s="20">
        <f t="shared" ca="1" si="26"/>
        <v>0.76</v>
      </c>
      <c r="X100">
        <f t="shared" ca="1" si="22"/>
        <v>36.732880000000002</v>
      </c>
      <c r="Y100">
        <f t="shared" ca="1" si="23"/>
        <v>47.663760000000003</v>
      </c>
      <c r="Z100" s="19">
        <f t="shared" ca="1" si="27"/>
        <v>0.04</v>
      </c>
      <c r="AA100" s="19">
        <f t="shared" ca="1" si="27"/>
        <v>0.51</v>
      </c>
      <c r="AB100" s="19">
        <f t="shared" ca="1" si="27"/>
        <v>0.69</v>
      </c>
      <c r="AC100">
        <f t="shared" ca="1" si="24"/>
        <v>36.825360000000003</v>
      </c>
      <c r="AD100">
        <f t="shared" ca="1" si="25"/>
        <v>47.664290000000001</v>
      </c>
      <c r="AE100">
        <f t="shared" ca="1" si="17"/>
        <v>5903</v>
      </c>
      <c r="AF100">
        <f t="shared" ca="1" si="18"/>
        <v>36.590299999999999</v>
      </c>
      <c r="AI100" s="10" t="s">
        <v>41</v>
      </c>
      <c r="AJ100" t="str">
        <f t="shared" si="19"/>
        <v>Infantry Squad  #99</v>
      </c>
      <c r="AL100" s="10">
        <f t="shared" ca="1" si="20"/>
        <v>307</v>
      </c>
      <c r="AM100" s="10">
        <f t="shared" ca="1" si="21"/>
        <v>47.730700000000006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0.43</v>
      </c>
      <c r="V101" s="20">
        <f t="shared" ca="1" si="26"/>
        <v>0.66</v>
      </c>
      <c r="W101" s="20">
        <f t="shared" ca="1" si="26"/>
        <v>0.14000000000000001</v>
      </c>
      <c r="X101">
        <f t="shared" ca="1" si="22"/>
        <v>36.692610000000002</v>
      </c>
      <c r="Y101">
        <f t="shared" ca="1" si="23"/>
        <v>47.560270000000003</v>
      </c>
      <c r="Z101" s="19">
        <f t="shared" ca="1" si="27"/>
        <v>0.24</v>
      </c>
      <c r="AA101" s="19">
        <f t="shared" ca="1" si="27"/>
        <v>0.45</v>
      </c>
      <c r="AB101" s="19">
        <f t="shared" ca="1" si="27"/>
        <v>0.83</v>
      </c>
      <c r="AC101">
        <f t="shared" ca="1" si="24"/>
        <v>36.822159999999997</v>
      </c>
      <c r="AD101">
        <f t="shared" ca="1" si="25"/>
        <v>47.666460000000001</v>
      </c>
      <c r="AE101">
        <f t="shared" ca="1" si="17"/>
        <v>7131</v>
      </c>
      <c r="AF101">
        <f t="shared" ca="1" si="18"/>
        <v>36.713099999999997</v>
      </c>
      <c r="AI101" s="10" t="s">
        <v>41</v>
      </c>
      <c r="AJ101" t="str">
        <f t="shared" si="19"/>
        <v>Infantry Squad  #100</v>
      </c>
      <c r="AL101" s="10">
        <f t="shared" ca="1" si="20"/>
        <v>277</v>
      </c>
      <c r="AM101" s="10">
        <f t="shared" ca="1" si="21"/>
        <v>47.727700000000006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0.08</v>
      </c>
      <c r="V102" s="20">
        <f t="shared" ca="1" si="26"/>
        <v>0.61</v>
      </c>
      <c r="W102" s="20">
        <f t="shared" ca="1" si="26"/>
        <v>0.43</v>
      </c>
      <c r="X102">
        <f t="shared" ca="1" si="22"/>
        <v>36.58907</v>
      </c>
      <c r="Y102">
        <f t="shared" ca="1" si="23"/>
        <v>47.58831</v>
      </c>
      <c r="Z102" s="19">
        <f t="shared" ca="1" si="27"/>
        <v>0.97</v>
      </c>
      <c r="AA102" s="19">
        <f t="shared" ca="1" si="27"/>
        <v>0.8</v>
      </c>
      <c r="AB102" s="19">
        <f t="shared" ca="1" si="27"/>
        <v>0.85</v>
      </c>
      <c r="AC102">
        <f t="shared" ca="1" si="24"/>
        <v>36.805280000000003</v>
      </c>
      <c r="AD102">
        <f t="shared" ca="1" si="25"/>
        <v>47.693289999999998</v>
      </c>
      <c r="AE102">
        <f t="shared" ca="1" si="17"/>
        <v>224</v>
      </c>
      <c r="AF102">
        <f t="shared" ca="1" si="18"/>
        <v>36.022399999999998</v>
      </c>
      <c r="AI102" s="10" t="s">
        <v>37</v>
      </c>
      <c r="AJ102" t="str">
        <f t="shared" si="19"/>
        <v>T-72B3 Tank  #101</v>
      </c>
      <c r="AL102" s="10">
        <f t="shared" ca="1" si="20"/>
        <v>931</v>
      </c>
      <c r="AM102" s="10">
        <f t="shared" ca="1" si="21"/>
        <v>47.793100000000003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0.14000000000000001</v>
      </c>
      <c r="V103" s="20">
        <f t="shared" ca="1" si="26"/>
        <v>7.0000000000000007E-2</v>
      </c>
      <c r="W103" s="20">
        <f t="shared" ca="1" si="26"/>
        <v>0.53</v>
      </c>
      <c r="X103">
        <f t="shared" ca="1" si="22"/>
        <v>36.601590000000002</v>
      </c>
      <c r="Y103">
        <f t="shared" ca="1" si="23"/>
        <v>47.659520000000001</v>
      </c>
      <c r="Z103" s="19">
        <f t="shared" ca="1" si="27"/>
        <v>0.26</v>
      </c>
      <c r="AA103" s="19">
        <f t="shared" ca="1" si="27"/>
        <v>0.39</v>
      </c>
      <c r="AB103" s="19">
        <f t="shared" ca="1" si="27"/>
        <v>0.76</v>
      </c>
      <c r="AC103">
        <f t="shared" ca="1" si="24"/>
        <v>36.826270000000001</v>
      </c>
      <c r="AD103">
        <f t="shared" ca="1" si="25"/>
        <v>47.668779999999998</v>
      </c>
      <c r="AE103">
        <f t="shared" ca="1" si="17"/>
        <v>6293</v>
      </c>
      <c r="AF103">
        <f t="shared" ca="1" si="18"/>
        <v>36.629300000000001</v>
      </c>
      <c r="AI103" s="10" t="s">
        <v>37</v>
      </c>
      <c r="AJ103" t="str">
        <f t="shared" si="19"/>
        <v>T-72B3 Tank  #102</v>
      </c>
      <c r="AL103" s="10">
        <f t="shared" ca="1" si="20"/>
        <v>74</v>
      </c>
      <c r="AM103" s="10">
        <f t="shared" ca="1" si="21"/>
        <v>47.7074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0.36</v>
      </c>
      <c r="V104" s="20">
        <f t="shared" ca="1" si="26"/>
        <v>0.39</v>
      </c>
      <c r="W104" s="20">
        <f t="shared" ca="1" si="26"/>
        <v>0.24</v>
      </c>
      <c r="X104">
        <f t="shared" ca="1" si="22"/>
        <v>36.567529999999998</v>
      </c>
      <c r="Y104">
        <f t="shared" ca="1" si="23"/>
        <v>47.62256</v>
      </c>
      <c r="Z104" s="19">
        <f t="shared" ca="1" si="27"/>
        <v>0.68</v>
      </c>
      <c r="AA104" s="19">
        <f t="shared" ca="1" si="27"/>
        <v>0.63</v>
      </c>
      <c r="AB104" s="19">
        <f t="shared" ca="1" si="27"/>
        <v>0.47</v>
      </c>
      <c r="AC104">
        <f t="shared" ca="1" si="24"/>
        <v>36.810310000000001</v>
      </c>
      <c r="AD104">
        <f t="shared" ca="1" si="25"/>
        <v>47.67897</v>
      </c>
      <c r="AE104">
        <f t="shared" ca="1" si="17"/>
        <v>463</v>
      </c>
      <c r="AF104">
        <f t="shared" ca="1" si="18"/>
        <v>36.046300000000002</v>
      </c>
      <c r="AI104" s="10" t="s">
        <v>38</v>
      </c>
      <c r="AJ104" t="str">
        <f t="shared" si="19"/>
        <v>T-80BVM Tank  #103</v>
      </c>
      <c r="AL104" s="10">
        <f t="shared" ca="1" si="20"/>
        <v>482</v>
      </c>
      <c r="AM104" s="10">
        <f t="shared" ca="1" si="21"/>
        <v>47.748200000000004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0.11</v>
      </c>
      <c r="V105" s="20">
        <f t="shared" ca="1" si="26"/>
        <v>0.85</v>
      </c>
      <c r="W105" s="20">
        <f t="shared" ca="1" si="26"/>
        <v>0.74</v>
      </c>
      <c r="X105">
        <f t="shared" ca="1" si="22"/>
        <v>36.64425</v>
      </c>
      <c r="Y105">
        <f t="shared" ca="1" si="23"/>
        <v>47.539580000000001</v>
      </c>
      <c r="Z105" s="19">
        <f t="shared" ca="1" si="27"/>
        <v>0.26</v>
      </c>
      <c r="AA105" s="19">
        <f t="shared" ca="1" si="27"/>
        <v>0.53</v>
      </c>
      <c r="AB105" s="19">
        <f t="shared" ca="1" si="27"/>
        <v>0.55000000000000004</v>
      </c>
      <c r="AC105">
        <f t="shared" ca="1" si="24"/>
        <v>36.829979999999999</v>
      </c>
      <c r="AD105">
        <f t="shared" ca="1" si="25"/>
        <v>47.663600000000002</v>
      </c>
      <c r="AE105">
        <f t="shared" ca="1" si="17"/>
        <v>6220</v>
      </c>
      <c r="AF105">
        <f t="shared" ca="1" si="18"/>
        <v>36.622</v>
      </c>
      <c r="AI105" s="10" t="s">
        <v>37</v>
      </c>
      <c r="AJ105" t="str">
        <f t="shared" si="19"/>
        <v>T-72B3 Tank  #104</v>
      </c>
      <c r="AL105" s="10">
        <f t="shared" ca="1" si="20"/>
        <v>586</v>
      </c>
      <c r="AM105" s="10">
        <f t="shared" ca="1" si="21"/>
        <v>47.758600000000001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0.48</v>
      </c>
      <c r="V106" s="20">
        <f t="shared" ca="1" si="26"/>
        <v>0.84</v>
      </c>
      <c r="W106" s="20">
        <f t="shared" ca="1" si="26"/>
        <v>0.95</v>
      </c>
      <c r="X106">
        <f t="shared" ca="1" si="22"/>
        <v>36.77872</v>
      </c>
      <c r="Y106">
        <f t="shared" ca="1" si="23"/>
        <v>47.690829999999998</v>
      </c>
      <c r="Z106" s="19">
        <f t="shared" ca="1" si="27"/>
        <v>0.01</v>
      </c>
      <c r="AA106" s="19">
        <f t="shared" ca="1" si="27"/>
        <v>0.12</v>
      </c>
      <c r="AB106" s="19">
        <f t="shared" ca="1" si="27"/>
        <v>0.24</v>
      </c>
      <c r="AC106">
        <f t="shared" ca="1" si="24"/>
        <v>36.845840000000003</v>
      </c>
      <c r="AD106">
        <f t="shared" ca="1" si="25"/>
        <v>47.682679999999998</v>
      </c>
      <c r="AE106">
        <f t="shared" ca="1" si="17"/>
        <v>7835</v>
      </c>
      <c r="AF106">
        <f t="shared" ca="1" si="18"/>
        <v>36.783499999999997</v>
      </c>
      <c r="AI106" s="10" t="s">
        <v>38</v>
      </c>
      <c r="AJ106" t="str">
        <f t="shared" si="19"/>
        <v>T-80BVM Tank  #105</v>
      </c>
      <c r="AL106" s="10">
        <f t="shared" ca="1" si="20"/>
        <v>986</v>
      </c>
      <c r="AM106" s="10">
        <f t="shared" ca="1" si="21"/>
        <v>47.7986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0.42</v>
      </c>
      <c r="V107" s="20">
        <f t="shared" ca="1" si="26"/>
        <v>0.62</v>
      </c>
      <c r="W107" s="20">
        <f t="shared" ca="1" si="26"/>
        <v>0.01</v>
      </c>
      <c r="X107">
        <f t="shared" ca="1" si="22"/>
        <v>36.522829999999999</v>
      </c>
      <c r="Y107">
        <f t="shared" ca="1" si="23"/>
        <v>47.620469999999997</v>
      </c>
      <c r="Z107" s="19">
        <f t="shared" ca="1" si="27"/>
        <v>0.16</v>
      </c>
      <c r="AA107" s="19">
        <f t="shared" ca="1" si="27"/>
        <v>0.26</v>
      </c>
      <c r="AB107" s="19">
        <f t="shared" ca="1" si="27"/>
        <v>0.79</v>
      </c>
      <c r="AC107">
        <f t="shared" ca="1" si="24"/>
        <v>36.829859999999996</v>
      </c>
      <c r="AD107">
        <f t="shared" ca="1" si="25"/>
        <v>47.674500000000002</v>
      </c>
      <c r="AE107">
        <f t="shared" ca="1" si="17"/>
        <v>7181</v>
      </c>
      <c r="AF107">
        <f t="shared" ca="1" si="18"/>
        <v>36.7181</v>
      </c>
      <c r="AI107" s="10" t="s">
        <v>39</v>
      </c>
      <c r="AJ107" t="str">
        <f t="shared" si="19"/>
        <v>BMP-2  #106</v>
      </c>
      <c r="AL107" s="10">
        <f t="shared" ca="1" si="20"/>
        <v>218</v>
      </c>
      <c r="AM107" s="10">
        <f t="shared" ca="1" si="21"/>
        <v>47.721800000000002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0.52</v>
      </c>
      <c r="V108" s="20">
        <f t="shared" ca="1" si="26"/>
        <v>0.47</v>
      </c>
      <c r="W108" s="20">
        <f t="shared" ca="1" si="26"/>
        <v>7.0000000000000007E-2</v>
      </c>
      <c r="X108">
        <f t="shared" ca="1" si="22"/>
        <v>36.673360000000002</v>
      </c>
      <c r="Y108">
        <f t="shared" ca="1" si="23"/>
        <v>47.572479999999999</v>
      </c>
      <c r="Z108" s="19">
        <f t="shared" ca="1" si="27"/>
        <v>0.04</v>
      </c>
      <c r="AA108" s="19">
        <f t="shared" ca="1" si="27"/>
        <v>0</v>
      </c>
      <c r="AB108" s="19">
        <f t="shared" ca="1" si="27"/>
        <v>0.12</v>
      </c>
      <c r="AC108">
        <f t="shared" ca="1" si="24"/>
        <v>36.85</v>
      </c>
      <c r="AD108">
        <f t="shared" ca="1" si="25"/>
        <v>47.7</v>
      </c>
      <c r="AE108">
        <f t="shared" ca="1" si="17"/>
        <v>5790</v>
      </c>
      <c r="AF108">
        <f t="shared" ca="1" si="18"/>
        <v>36.579000000000001</v>
      </c>
      <c r="AI108" s="10" t="s">
        <v>39</v>
      </c>
      <c r="AJ108" t="str">
        <f t="shared" si="19"/>
        <v>BMP-2  #107</v>
      </c>
      <c r="AL108" s="10">
        <f t="shared" ca="1" si="20"/>
        <v>960</v>
      </c>
      <c r="AM108" s="10">
        <f t="shared" ca="1" si="21"/>
        <v>47.795999999999999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0.68</v>
      </c>
      <c r="V109" s="20">
        <f t="shared" ca="1" si="26"/>
        <v>0.11</v>
      </c>
      <c r="W109" s="20">
        <f t="shared" ca="1" si="26"/>
        <v>0.28999999999999998</v>
      </c>
      <c r="X109">
        <f t="shared" ca="1" si="22"/>
        <v>36.642780000000002</v>
      </c>
      <c r="Y109">
        <f t="shared" ca="1" si="23"/>
        <v>47.652900000000002</v>
      </c>
      <c r="Z109" s="19">
        <f t="shared" ca="1" si="27"/>
        <v>0.69</v>
      </c>
      <c r="AA109" s="19">
        <f t="shared" ca="1" si="27"/>
        <v>0.84</v>
      </c>
      <c r="AB109" s="19">
        <f t="shared" ca="1" si="27"/>
        <v>0.54</v>
      </c>
      <c r="AC109">
        <f t="shared" ca="1" si="24"/>
        <v>36.804169999999999</v>
      </c>
      <c r="AD109">
        <f t="shared" ca="1" si="25"/>
        <v>47.678919999999998</v>
      </c>
      <c r="AE109">
        <f t="shared" ca="1" si="17"/>
        <v>9628</v>
      </c>
      <c r="AF109">
        <f t="shared" ca="1" si="18"/>
        <v>36.962800000000001</v>
      </c>
      <c r="AI109" s="10" t="s">
        <v>40</v>
      </c>
      <c r="AJ109" t="str">
        <f t="shared" si="19"/>
        <v>BTR-80  #108</v>
      </c>
      <c r="AL109" s="10">
        <f t="shared" ca="1" si="20"/>
        <v>604</v>
      </c>
      <c r="AM109" s="10">
        <f t="shared" ca="1" si="21"/>
        <v>47.760400000000004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0.65</v>
      </c>
      <c r="V110" s="20">
        <f t="shared" ca="1" si="26"/>
        <v>0.46</v>
      </c>
      <c r="W110" s="20">
        <f t="shared" ca="1" si="26"/>
        <v>0.95</v>
      </c>
      <c r="X110">
        <f t="shared" ca="1" si="22"/>
        <v>36.732259999999997</v>
      </c>
      <c r="Y110">
        <f t="shared" ca="1" si="23"/>
        <v>47.693219999999997</v>
      </c>
      <c r="Z110" s="19">
        <f t="shared" ca="1" si="27"/>
        <v>0.69</v>
      </c>
      <c r="AA110" s="19">
        <f t="shared" ca="1" si="27"/>
        <v>0.83</v>
      </c>
      <c r="AB110" s="19">
        <f t="shared" ca="1" si="27"/>
        <v>7.0000000000000007E-2</v>
      </c>
      <c r="AC110">
        <f t="shared" ca="1" si="24"/>
        <v>36.804450000000003</v>
      </c>
      <c r="AD110">
        <f t="shared" ca="1" si="25"/>
        <v>47.657640000000001</v>
      </c>
      <c r="AE110">
        <f t="shared" ca="1" si="17"/>
        <v>6805</v>
      </c>
      <c r="AF110">
        <f t="shared" ca="1" si="18"/>
        <v>36.680500000000002</v>
      </c>
      <c r="AI110" s="10" t="s">
        <v>39</v>
      </c>
      <c r="AJ110" t="str">
        <f t="shared" si="19"/>
        <v>BMP-2  #109</v>
      </c>
      <c r="AL110" s="10">
        <f t="shared" ca="1" si="20"/>
        <v>837</v>
      </c>
      <c r="AM110" s="10">
        <f t="shared" ca="1" si="21"/>
        <v>47.783700000000003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0.18</v>
      </c>
      <c r="V111" s="20">
        <f t="shared" ca="1" si="26"/>
        <v>0.03</v>
      </c>
      <c r="W111" s="20">
        <f t="shared" ca="1" si="26"/>
        <v>0.86</v>
      </c>
      <c r="X111">
        <f t="shared" ca="1" si="22"/>
        <v>36.612470000000002</v>
      </c>
      <c r="Y111">
        <f t="shared" ca="1" si="23"/>
        <v>47.66778</v>
      </c>
      <c r="Z111" s="19">
        <f t="shared" ca="1" si="27"/>
        <v>0.47</v>
      </c>
      <c r="AA111" s="19">
        <f t="shared" ca="1" si="27"/>
        <v>0.31</v>
      </c>
      <c r="AB111" s="19">
        <f t="shared" ca="1" si="27"/>
        <v>0.37</v>
      </c>
      <c r="AC111">
        <f t="shared" ca="1" si="24"/>
        <v>36.839700000000001</v>
      </c>
      <c r="AD111">
        <f t="shared" ca="1" si="25"/>
        <v>47.672159999999998</v>
      </c>
      <c r="AE111">
        <f t="shared" ca="1" si="17"/>
        <v>8429</v>
      </c>
      <c r="AF111">
        <f t="shared" ca="1" si="18"/>
        <v>36.8429</v>
      </c>
      <c r="AI111" s="10" t="s">
        <v>39</v>
      </c>
      <c r="AJ111" t="str">
        <f t="shared" si="19"/>
        <v>BMP-2  #110</v>
      </c>
      <c r="AL111" s="10">
        <f t="shared" ca="1" si="20"/>
        <v>985</v>
      </c>
      <c r="AM111" s="10">
        <f t="shared" ca="1" si="21"/>
        <v>47.798500000000004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0.16</v>
      </c>
      <c r="V112" s="20">
        <f t="shared" ca="1" si="26"/>
        <v>0.8</v>
      </c>
      <c r="W112" s="20">
        <f t="shared" ca="1" si="26"/>
        <v>0.24</v>
      </c>
      <c r="X112">
        <f t="shared" ca="1" si="22"/>
        <v>36.553489999999996</v>
      </c>
      <c r="Y112">
        <f t="shared" ca="1" si="23"/>
        <v>47.589089999999999</v>
      </c>
      <c r="Z112" s="19">
        <f t="shared" ca="1" si="27"/>
        <v>0.82</v>
      </c>
      <c r="AA112" s="19">
        <f t="shared" ca="1" si="27"/>
        <v>0.25</v>
      </c>
      <c r="AB112" s="19">
        <f t="shared" ca="1" si="27"/>
        <v>0.62</v>
      </c>
      <c r="AC112">
        <f t="shared" ca="1" si="24"/>
        <v>36.825000000000003</v>
      </c>
      <c r="AD112">
        <f t="shared" ca="1" si="25"/>
        <v>47.6905</v>
      </c>
      <c r="AE112">
        <f t="shared" ca="1" si="17"/>
        <v>7109</v>
      </c>
      <c r="AF112">
        <f t="shared" ca="1" si="18"/>
        <v>36.710900000000002</v>
      </c>
      <c r="AI112" s="10" t="s">
        <v>40</v>
      </c>
      <c r="AJ112" t="str">
        <f t="shared" si="19"/>
        <v>BTR-80  #111</v>
      </c>
      <c r="AL112" s="10">
        <f t="shared" ca="1" si="20"/>
        <v>78</v>
      </c>
      <c r="AM112" s="10">
        <f t="shared" ca="1" si="21"/>
        <v>47.707800000000006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0.6</v>
      </c>
      <c r="V113" s="20">
        <f t="shared" ca="1" si="26"/>
        <v>0.8</v>
      </c>
      <c r="W113" s="20">
        <f t="shared" ca="1" si="26"/>
        <v>0.09</v>
      </c>
      <c r="X113">
        <f t="shared" ca="1" si="22"/>
        <v>36.697490000000002</v>
      </c>
      <c r="Y113">
        <f t="shared" ca="1" si="23"/>
        <v>47.537210000000002</v>
      </c>
      <c r="Z113" s="19">
        <f t="shared" ca="1" si="27"/>
        <v>0.5</v>
      </c>
      <c r="AA113" s="19">
        <f t="shared" ca="1" si="27"/>
        <v>0.27</v>
      </c>
      <c r="AB113" s="19">
        <f t="shared" ca="1" si="27"/>
        <v>0.38</v>
      </c>
      <c r="AC113">
        <f t="shared" ca="1" si="24"/>
        <v>36.824019999999997</v>
      </c>
      <c r="AD113">
        <f t="shared" ca="1" si="25"/>
        <v>47.683889999999998</v>
      </c>
      <c r="AE113">
        <f t="shared" ca="1" si="17"/>
        <v>8557</v>
      </c>
      <c r="AF113">
        <f t="shared" ca="1" si="18"/>
        <v>36.855699999999999</v>
      </c>
      <c r="AI113" s="10" t="s">
        <v>39</v>
      </c>
      <c r="AJ113" t="str">
        <f t="shared" si="19"/>
        <v>BMP-2  #112</v>
      </c>
      <c r="AL113" s="10">
        <f t="shared" ca="1" si="20"/>
        <v>324</v>
      </c>
      <c r="AM113" s="10">
        <f t="shared" ca="1" si="21"/>
        <v>47.732400000000005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0.64</v>
      </c>
      <c r="V114" s="20">
        <f t="shared" ca="1" si="26"/>
        <v>0.34</v>
      </c>
      <c r="W114" s="20">
        <f t="shared" ca="1" si="26"/>
        <v>0.42</v>
      </c>
      <c r="X114">
        <f t="shared" ca="1" si="22"/>
        <v>36.6828</v>
      </c>
      <c r="Y114">
        <f t="shared" ca="1" si="23"/>
        <v>47.632359999999998</v>
      </c>
      <c r="Z114" s="19">
        <f t="shared" ca="1" si="27"/>
        <v>0.04</v>
      </c>
      <c r="AA114" s="19">
        <f t="shared" ca="1" si="27"/>
        <v>0.82</v>
      </c>
      <c r="AB114" s="19">
        <f t="shared" ca="1" si="27"/>
        <v>0.12</v>
      </c>
      <c r="AC114">
        <f t="shared" ca="1" si="24"/>
        <v>36.844569999999997</v>
      </c>
      <c r="AD114">
        <f t="shared" ca="1" si="25"/>
        <v>47.654719999999998</v>
      </c>
      <c r="AE114">
        <f t="shared" ca="1" si="17"/>
        <v>1088</v>
      </c>
      <c r="AF114">
        <f t="shared" ca="1" si="18"/>
        <v>36.108800000000002</v>
      </c>
      <c r="AI114" s="10" t="s">
        <v>39</v>
      </c>
      <c r="AJ114" t="str">
        <f t="shared" si="19"/>
        <v>BMP-2  #113</v>
      </c>
      <c r="AL114" s="10">
        <f t="shared" ca="1" si="20"/>
        <v>185</v>
      </c>
      <c r="AM114" s="10">
        <f t="shared" ca="1" si="21"/>
        <v>47.718500000000006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0.64</v>
      </c>
      <c r="V115" s="20">
        <f t="shared" ca="1" si="26"/>
        <v>0.55000000000000004</v>
      </c>
      <c r="W115" s="20">
        <f t="shared" ca="1" si="26"/>
        <v>0.82</v>
      </c>
      <c r="X115">
        <f t="shared" ca="1" si="22"/>
        <v>36.734969999999997</v>
      </c>
      <c r="Y115">
        <f t="shared" ca="1" si="23"/>
        <v>47.673299999999998</v>
      </c>
      <c r="Z115" s="19">
        <f t="shared" ca="1" si="27"/>
        <v>0.46</v>
      </c>
      <c r="AA115" s="19">
        <f t="shared" ca="1" si="27"/>
        <v>0.02</v>
      </c>
      <c r="AB115" s="19">
        <f t="shared" ca="1" si="27"/>
        <v>0.48</v>
      </c>
      <c r="AC115">
        <f t="shared" ca="1" si="24"/>
        <v>36.846609999999998</v>
      </c>
      <c r="AD115">
        <f t="shared" ca="1" si="25"/>
        <v>47.692929999999997</v>
      </c>
      <c r="AE115">
        <f t="shared" ca="1" si="17"/>
        <v>3065</v>
      </c>
      <c r="AF115">
        <f t="shared" ca="1" si="18"/>
        <v>36.3065</v>
      </c>
      <c r="AI115" s="10" t="s">
        <v>40</v>
      </c>
      <c r="AJ115" t="str">
        <f t="shared" si="19"/>
        <v>BTR-80  #114</v>
      </c>
      <c r="AL115" s="10">
        <f t="shared" ca="1" si="20"/>
        <v>771</v>
      </c>
      <c r="AM115" s="10">
        <f t="shared" ca="1" si="21"/>
        <v>47.777100000000004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0.26</v>
      </c>
      <c r="V116" s="20">
        <f t="shared" ca="1" si="26"/>
        <v>0.15</v>
      </c>
      <c r="W116" s="20">
        <f t="shared" ca="1" si="26"/>
        <v>0.59</v>
      </c>
      <c r="X116">
        <f t="shared" ca="1" si="22"/>
        <v>36.606969999999997</v>
      </c>
      <c r="Y116">
        <f t="shared" ca="1" si="23"/>
        <v>47.638420000000004</v>
      </c>
      <c r="Z116" s="19">
        <f t="shared" ca="1" si="27"/>
        <v>0.99</v>
      </c>
      <c r="AA116" s="19">
        <f t="shared" ca="1" si="27"/>
        <v>0.61</v>
      </c>
      <c r="AB116" s="19">
        <f t="shared" ca="1" si="27"/>
        <v>0.85</v>
      </c>
      <c r="AC116">
        <f t="shared" ca="1" si="24"/>
        <v>36.810949999999998</v>
      </c>
      <c r="AD116">
        <f t="shared" ca="1" si="25"/>
        <v>47.694139999999997</v>
      </c>
      <c r="AE116">
        <f t="shared" ca="1" si="17"/>
        <v>855</v>
      </c>
      <c r="AF116">
        <f t="shared" ca="1" si="18"/>
        <v>36.085500000000003</v>
      </c>
      <c r="AI116" s="10" t="s">
        <v>39</v>
      </c>
      <c r="AJ116" t="str">
        <f t="shared" si="19"/>
        <v>BMP-2  #115</v>
      </c>
      <c r="AL116" s="10">
        <f t="shared" ca="1" si="20"/>
        <v>716</v>
      </c>
      <c r="AM116" s="10">
        <f t="shared" ca="1" si="21"/>
        <v>47.771599999999999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0.59</v>
      </c>
      <c r="V117" s="20">
        <f t="shared" ca="1" si="26"/>
        <v>0.12</v>
      </c>
      <c r="W117" s="20">
        <f t="shared" ca="1" si="26"/>
        <v>0.77</v>
      </c>
      <c r="X117">
        <f t="shared" ca="1" si="22"/>
        <v>36.66131</v>
      </c>
      <c r="Y117">
        <f t="shared" ca="1" si="23"/>
        <v>47.684069999999998</v>
      </c>
      <c r="Z117" s="19">
        <f t="shared" ca="1" si="27"/>
        <v>0.31</v>
      </c>
      <c r="AA117" s="19">
        <f t="shared" ca="1" si="27"/>
        <v>0.7</v>
      </c>
      <c r="AB117" s="19">
        <f t="shared" ca="1" si="27"/>
        <v>0.39</v>
      </c>
      <c r="AC117">
        <f t="shared" ca="1" si="24"/>
        <v>36.833689999999997</v>
      </c>
      <c r="AD117">
        <f t="shared" ca="1" si="25"/>
        <v>47.658169999999998</v>
      </c>
      <c r="AE117">
        <f t="shared" ca="1" si="17"/>
        <v>8555</v>
      </c>
      <c r="AF117">
        <f t="shared" ca="1" si="18"/>
        <v>36.855499999999999</v>
      </c>
      <c r="AI117" s="10" t="s">
        <v>39</v>
      </c>
      <c r="AJ117" t="str">
        <f t="shared" si="19"/>
        <v>BMP-2  #116</v>
      </c>
      <c r="AL117" s="10">
        <f t="shared" ca="1" si="20"/>
        <v>662</v>
      </c>
      <c r="AM117" s="10">
        <f t="shared" ca="1" si="21"/>
        <v>47.766200000000005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0.66</v>
      </c>
      <c r="V118" s="20">
        <f t="shared" ca="1" si="26"/>
        <v>0.43</v>
      </c>
      <c r="W118" s="20">
        <f t="shared" ca="1" si="26"/>
        <v>0.49</v>
      </c>
      <c r="X118">
        <f t="shared" ca="1" si="22"/>
        <v>36.697710000000001</v>
      </c>
      <c r="Y118">
        <f t="shared" ca="1" si="23"/>
        <v>47.633110000000002</v>
      </c>
      <c r="Z118" s="19">
        <f t="shared" ca="1" si="27"/>
        <v>0.8</v>
      </c>
      <c r="AA118" s="19">
        <f t="shared" ca="1" si="27"/>
        <v>0.68</v>
      </c>
      <c r="AB118" s="19">
        <f t="shared" ca="1" si="27"/>
        <v>0.06</v>
      </c>
      <c r="AC118">
        <f t="shared" ca="1" si="24"/>
        <v>36.808770000000003</v>
      </c>
      <c r="AD118">
        <f t="shared" ca="1" si="25"/>
        <v>47.661239999999999</v>
      </c>
      <c r="AE118">
        <f t="shared" ca="1" si="17"/>
        <v>3669</v>
      </c>
      <c r="AF118">
        <f t="shared" ca="1" si="18"/>
        <v>36.366900000000001</v>
      </c>
      <c r="AI118" s="10" t="s">
        <v>40</v>
      </c>
      <c r="AJ118" t="str">
        <f t="shared" si="19"/>
        <v>BTR-80  #117</v>
      </c>
      <c r="AL118" s="10">
        <f t="shared" ca="1" si="20"/>
        <v>266</v>
      </c>
      <c r="AM118" s="10">
        <f t="shared" ca="1" si="21"/>
        <v>47.726600000000005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0.37</v>
      </c>
      <c r="V119" s="20">
        <f t="shared" ca="1" si="26"/>
        <v>0.79</v>
      </c>
      <c r="W119" s="20">
        <f t="shared" ca="1" si="26"/>
        <v>0.13</v>
      </c>
      <c r="X119">
        <f t="shared" ca="1" si="22"/>
        <v>36.534230000000001</v>
      </c>
      <c r="Y119">
        <f t="shared" ca="1" si="23"/>
        <v>47.599559999999997</v>
      </c>
      <c r="Z119" s="19">
        <f t="shared" ca="1" si="27"/>
        <v>0.68</v>
      </c>
      <c r="AA119" s="19">
        <f t="shared" ca="1" si="27"/>
        <v>0.22</v>
      </c>
      <c r="AB119" s="19">
        <f t="shared" ca="1" si="27"/>
        <v>1</v>
      </c>
      <c r="AC119">
        <f t="shared" ca="1" si="24"/>
        <v>36.826549999999997</v>
      </c>
      <c r="AD119">
        <f t="shared" ca="1" si="25"/>
        <v>47.7</v>
      </c>
      <c r="AE119">
        <f t="shared" ca="1" si="17"/>
        <v>477</v>
      </c>
      <c r="AF119">
        <f t="shared" ca="1" si="18"/>
        <v>36.047699999999999</v>
      </c>
      <c r="AI119" s="10" t="s">
        <v>41</v>
      </c>
      <c r="AJ119" t="str">
        <f t="shared" si="19"/>
        <v>Infantry Squad  #118</v>
      </c>
      <c r="AL119" s="10">
        <f t="shared" ca="1" si="20"/>
        <v>867</v>
      </c>
      <c r="AM119" s="10">
        <f t="shared" ca="1" si="21"/>
        <v>47.786700000000003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0.61</v>
      </c>
      <c r="V120" s="20">
        <f t="shared" ca="1" si="26"/>
        <v>0.88</v>
      </c>
      <c r="W120" s="20">
        <f t="shared" ca="1" si="26"/>
        <v>0.8</v>
      </c>
      <c r="X120">
        <f t="shared" ca="1" si="22"/>
        <v>36.76885</v>
      </c>
      <c r="Y120">
        <f t="shared" ca="1" si="23"/>
        <v>47.662480000000002</v>
      </c>
      <c r="Z120" s="19">
        <f t="shared" ca="1" si="27"/>
        <v>0.05</v>
      </c>
      <c r="AA120" s="19">
        <f t="shared" ca="1" si="27"/>
        <v>0.7</v>
      </c>
      <c r="AB120" s="19">
        <f t="shared" ca="1" si="27"/>
        <v>0.19</v>
      </c>
      <c r="AC120">
        <f t="shared" ca="1" si="24"/>
        <v>36.84205</v>
      </c>
      <c r="AD120">
        <f t="shared" ca="1" si="25"/>
        <v>47.658169999999998</v>
      </c>
      <c r="AE120">
        <f t="shared" ca="1" si="17"/>
        <v>8533</v>
      </c>
      <c r="AF120">
        <f t="shared" ca="1" si="18"/>
        <v>36.853299999999997</v>
      </c>
      <c r="AI120" s="10" t="s">
        <v>41</v>
      </c>
      <c r="AJ120" t="str">
        <f t="shared" si="19"/>
        <v>Infantry Squad  #119</v>
      </c>
      <c r="AL120" s="10">
        <f t="shared" ca="1" si="20"/>
        <v>984</v>
      </c>
      <c r="AM120" s="10">
        <f t="shared" ca="1" si="21"/>
        <v>47.798400000000001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0.6</v>
      </c>
      <c r="V121" s="20">
        <f t="shared" ca="1" si="26"/>
        <v>0.37</v>
      </c>
      <c r="W121" s="20">
        <f t="shared" ca="1" si="26"/>
        <v>0.81</v>
      </c>
      <c r="X121">
        <f t="shared" ca="1" si="22"/>
        <v>36.710099999999997</v>
      </c>
      <c r="Y121">
        <f t="shared" ca="1" si="23"/>
        <v>47.67689</v>
      </c>
      <c r="Z121" s="19">
        <f t="shared" ca="1" si="27"/>
        <v>0.18</v>
      </c>
      <c r="AA121" s="19">
        <f t="shared" ca="1" si="27"/>
        <v>0.25</v>
      </c>
      <c r="AB121" s="19">
        <f t="shared" ca="1" si="27"/>
        <v>0.33</v>
      </c>
      <c r="AC121">
        <f t="shared" ca="1" si="24"/>
        <v>36.841749999999998</v>
      </c>
      <c r="AD121">
        <f t="shared" ca="1" si="25"/>
        <v>47.674999999999997</v>
      </c>
      <c r="AE121">
        <f t="shared" ca="1" si="17"/>
        <v>15</v>
      </c>
      <c r="AF121">
        <f t="shared" ca="1" si="18"/>
        <v>36.0015</v>
      </c>
      <c r="AI121" s="10" t="s">
        <v>41</v>
      </c>
      <c r="AJ121" t="str">
        <f t="shared" si="19"/>
        <v>Infantry Squad  #120</v>
      </c>
      <c r="AL121" s="10">
        <f t="shared" ca="1" si="20"/>
        <v>652</v>
      </c>
      <c r="AM121" s="10">
        <f t="shared" ca="1" si="21"/>
        <v>47.7652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0.93</v>
      </c>
      <c r="V122" s="20">
        <f t="shared" ca="1" si="26"/>
        <v>0.35</v>
      </c>
      <c r="W122" s="20">
        <f t="shared" ca="1" si="26"/>
        <v>0.82</v>
      </c>
      <c r="X122">
        <f t="shared" ca="1" si="22"/>
        <v>36.70767</v>
      </c>
      <c r="Y122">
        <f t="shared" ca="1" si="23"/>
        <v>47.678699999999999</v>
      </c>
      <c r="Z122" s="19">
        <f t="shared" ca="1" si="27"/>
        <v>0.28000000000000003</v>
      </c>
      <c r="AA122" s="19">
        <f t="shared" ca="1" si="27"/>
        <v>0.41</v>
      </c>
      <c r="AB122" s="19">
        <f t="shared" ca="1" si="27"/>
        <v>0.23</v>
      </c>
      <c r="AC122">
        <f t="shared" ca="1" si="24"/>
        <v>36.842640000000003</v>
      </c>
      <c r="AD122">
        <f t="shared" ca="1" si="25"/>
        <v>47.66798</v>
      </c>
      <c r="AE122">
        <f t="shared" ca="1" si="17"/>
        <v>7638</v>
      </c>
      <c r="AF122">
        <f t="shared" ca="1" si="18"/>
        <v>36.763800000000003</v>
      </c>
      <c r="AI122" s="10" t="s">
        <v>37</v>
      </c>
      <c r="AJ122" t="str">
        <f t="shared" si="19"/>
        <v>T-72B3 Tank  #121</v>
      </c>
      <c r="AL122" s="10">
        <f t="shared" ca="1" si="20"/>
        <v>268</v>
      </c>
      <c r="AM122" s="10">
        <f t="shared" ca="1" si="21"/>
        <v>47.726800000000004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0.12</v>
      </c>
      <c r="V123" s="20">
        <f t="shared" ca="1" si="26"/>
        <v>0.03</v>
      </c>
      <c r="W123" s="20">
        <f t="shared" ca="1" si="26"/>
        <v>0.5</v>
      </c>
      <c r="X123">
        <f t="shared" ca="1" si="22"/>
        <v>36.6</v>
      </c>
      <c r="Y123">
        <f t="shared" ca="1" si="23"/>
        <v>47.674019999999999</v>
      </c>
      <c r="Z123" s="19">
        <f t="shared" ca="1" si="27"/>
        <v>0.19</v>
      </c>
      <c r="AA123" s="19">
        <f t="shared" ca="1" si="27"/>
        <v>0.72</v>
      </c>
      <c r="AB123" s="19">
        <f t="shared" ca="1" si="27"/>
        <v>0.64</v>
      </c>
      <c r="AC123">
        <f t="shared" ca="1" si="24"/>
        <v>36.822850000000003</v>
      </c>
      <c r="AD123">
        <f t="shared" ca="1" si="25"/>
        <v>47.65757</v>
      </c>
      <c r="AE123">
        <f t="shared" ca="1" si="17"/>
        <v>8069</v>
      </c>
      <c r="AF123">
        <f t="shared" ca="1" si="18"/>
        <v>36.806899999999999</v>
      </c>
      <c r="AI123" s="10" t="s">
        <v>37</v>
      </c>
      <c r="AJ123" t="str">
        <f t="shared" si="19"/>
        <v>T-72B3 Tank  #122</v>
      </c>
      <c r="AL123" s="10">
        <f t="shared" ca="1" si="20"/>
        <v>558</v>
      </c>
      <c r="AM123" s="10">
        <f t="shared" ca="1" si="21"/>
        <v>47.755800000000001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0.2</v>
      </c>
      <c r="V124" s="20">
        <f t="shared" ca="1" si="26"/>
        <v>0.42</v>
      </c>
      <c r="W124" s="20">
        <f t="shared" ca="1" si="26"/>
        <v>0.23</v>
      </c>
      <c r="X124">
        <f t="shared" ca="1" si="22"/>
        <v>36.564999999999998</v>
      </c>
      <c r="Y124">
        <f t="shared" ca="1" si="23"/>
        <v>47.620289999999997</v>
      </c>
      <c r="Z124" s="19">
        <f t="shared" ca="1" si="27"/>
        <v>0.99</v>
      </c>
      <c r="AA124" s="19">
        <f t="shared" ca="1" si="27"/>
        <v>0.6</v>
      </c>
      <c r="AB124" s="19">
        <f t="shared" ca="1" si="27"/>
        <v>0.62</v>
      </c>
      <c r="AC124">
        <f t="shared" ca="1" si="24"/>
        <v>36.81127</v>
      </c>
      <c r="AD124">
        <f t="shared" ca="1" si="25"/>
        <v>47.685279999999999</v>
      </c>
      <c r="AE124">
        <f t="shared" ca="1" si="17"/>
        <v>5493</v>
      </c>
      <c r="AF124">
        <f t="shared" ca="1" si="18"/>
        <v>36.549300000000002</v>
      </c>
      <c r="AI124" s="10" t="s">
        <v>38</v>
      </c>
      <c r="AJ124" t="str">
        <f t="shared" si="19"/>
        <v>T-80BVM Tank  #123</v>
      </c>
      <c r="AL124" s="10">
        <f t="shared" ca="1" si="20"/>
        <v>102</v>
      </c>
      <c r="AM124" s="10">
        <f t="shared" ca="1" si="21"/>
        <v>47.7102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0.51</v>
      </c>
      <c r="V125" s="20">
        <f t="shared" ca="1" si="26"/>
        <v>0.51</v>
      </c>
      <c r="W125" s="20">
        <f t="shared" ca="1" si="26"/>
        <v>0.42</v>
      </c>
      <c r="X125">
        <f t="shared" ca="1" si="22"/>
        <v>36.701410000000003</v>
      </c>
      <c r="Y125">
        <f t="shared" ca="1" si="23"/>
        <v>47.617159999999998</v>
      </c>
      <c r="Z125" s="19">
        <f t="shared" ca="1" si="27"/>
        <v>0.74</v>
      </c>
      <c r="AA125" s="19">
        <f t="shared" ca="1" si="27"/>
        <v>0.73</v>
      </c>
      <c r="AB125" s="19">
        <f t="shared" ca="1" si="27"/>
        <v>0.08</v>
      </c>
      <c r="AC125">
        <f t="shared" ca="1" si="24"/>
        <v>36.807279999999999</v>
      </c>
      <c r="AD125">
        <f t="shared" ca="1" si="25"/>
        <v>47.660699999999999</v>
      </c>
      <c r="AE125">
        <f t="shared" ca="1" si="17"/>
        <v>8958</v>
      </c>
      <c r="AF125">
        <f t="shared" ca="1" si="18"/>
        <v>36.895800000000001</v>
      </c>
      <c r="AI125" s="10" t="s">
        <v>37</v>
      </c>
      <c r="AJ125" t="str">
        <f t="shared" si="19"/>
        <v>T-72B3 Tank  #124</v>
      </c>
      <c r="AL125" s="10">
        <f t="shared" ca="1" si="20"/>
        <v>630</v>
      </c>
      <c r="AM125" s="10">
        <f t="shared" ca="1" si="21"/>
        <v>47.763000000000005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0.86</v>
      </c>
      <c r="V126" s="20">
        <f t="shared" ca="1" si="26"/>
        <v>0.62</v>
      </c>
      <c r="W126" s="20">
        <f t="shared" ca="1" si="26"/>
        <v>0.78</v>
      </c>
      <c r="X126">
        <f t="shared" ca="1" si="22"/>
        <v>36.740160000000003</v>
      </c>
      <c r="Y126">
        <f t="shared" ca="1" si="23"/>
        <v>47.665349999999997</v>
      </c>
      <c r="Z126" s="19">
        <f t="shared" ca="1" si="27"/>
        <v>0.22</v>
      </c>
      <c r="AA126" s="19">
        <f t="shared" ca="1" si="27"/>
        <v>0.53</v>
      </c>
      <c r="AB126" s="19">
        <f t="shared" ca="1" si="27"/>
        <v>0.76</v>
      </c>
      <c r="AC126">
        <f t="shared" ca="1" si="24"/>
        <v>36.822339999999997</v>
      </c>
      <c r="AD126">
        <f t="shared" ca="1" si="25"/>
        <v>47.663600000000002</v>
      </c>
      <c r="AE126">
        <f t="shared" ca="1" si="17"/>
        <v>2750</v>
      </c>
      <c r="AF126">
        <f t="shared" ca="1" si="18"/>
        <v>36.274999999999999</v>
      </c>
      <c r="AI126" s="10" t="s">
        <v>38</v>
      </c>
      <c r="AJ126" t="str">
        <f t="shared" si="19"/>
        <v>T-80BVM Tank  #125</v>
      </c>
      <c r="AL126" s="10">
        <f t="shared" ca="1" si="20"/>
        <v>734</v>
      </c>
      <c r="AM126" s="10">
        <f t="shared" ca="1" si="21"/>
        <v>47.773400000000002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0.92</v>
      </c>
      <c r="V127" s="20">
        <f t="shared" ca="1" si="26"/>
        <v>0.52</v>
      </c>
      <c r="W127" s="20">
        <f t="shared" ca="1" si="26"/>
        <v>0.3</v>
      </c>
      <c r="X127">
        <f t="shared" ca="1" si="22"/>
        <v>36.693739999999998</v>
      </c>
      <c r="Y127">
        <f t="shared" ca="1" si="23"/>
        <v>47.599040000000002</v>
      </c>
      <c r="Z127" s="19">
        <f t="shared" ca="1" si="27"/>
        <v>0.75</v>
      </c>
      <c r="AA127" s="19">
        <f t="shared" ca="1" si="27"/>
        <v>0.75</v>
      </c>
      <c r="AB127" s="19">
        <f t="shared" ca="1" si="27"/>
        <v>0.91</v>
      </c>
      <c r="AC127">
        <f t="shared" ca="1" si="24"/>
        <v>36.806699999999999</v>
      </c>
      <c r="AD127">
        <f t="shared" ca="1" si="25"/>
        <v>47.696100000000001</v>
      </c>
      <c r="AE127">
        <f t="shared" ca="1" si="17"/>
        <v>6987</v>
      </c>
      <c r="AF127">
        <f t="shared" ca="1" si="18"/>
        <v>36.698700000000002</v>
      </c>
      <c r="AI127" s="10" t="s">
        <v>39</v>
      </c>
      <c r="AJ127" t="str">
        <f t="shared" si="19"/>
        <v>BMP-2  #126</v>
      </c>
      <c r="AL127" s="10">
        <f t="shared" ca="1" si="20"/>
        <v>149</v>
      </c>
      <c r="AM127" s="10">
        <f t="shared" ca="1" si="21"/>
        <v>47.7149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0.96</v>
      </c>
      <c r="V128" s="20">
        <f t="shared" ca="1" si="26"/>
        <v>0.04</v>
      </c>
      <c r="W128" s="20">
        <f t="shared" ca="1" si="26"/>
        <v>0</v>
      </c>
      <c r="X128">
        <f t="shared" ca="1" si="22"/>
        <v>36.619999999999997</v>
      </c>
      <c r="Y128">
        <f t="shared" ca="1" si="23"/>
        <v>47.66</v>
      </c>
      <c r="Z128" s="19">
        <f t="shared" ca="1" si="27"/>
        <v>0.48</v>
      </c>
      <c r="AA128" s="19">
        <f t="shared" ca="1" si="27"/>
        <v>0.66</v>
      </c>
      <c r="AB128" s="19">
        <f t="shared" ca="1" si="27"/>
        <v>0.08</v>
      </c>
      <c r="AC128">
        <f t="shared" ca="1" si="24"/>
        <v>36.84675</v>
      </c>
      <c r="AD128">
        <f t="shared" ca="1" si="25"/>
        <v>47.659379999999999</v>
      </c>
      <c r="AE128">
        <f t="shared" ca="1" si="17"/>
        <v>9850</v>
      </c>
      <c r="AF128">
        <f t="shared" ca="1" si="18"/>
        <v>36.984999999999999</v>
      </c>
      <c r="AI128" s="10" t="s">
        <v>39</v>
      </c>
      <c r="AJ128" t="str">
        <f t="shared" si="19"/>
        <v>BMP-2  #127</v>
      </c>
      <c r="AL128" s="10">
        <f t="shared" ca="1" si="20"/>
        <v>298</v>
      </c>
      <c r="AM128" s="10">
        <f t="shared" ca="1" si="21"/>
        <v>47.729800000000004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0.22</v>
      </c>
      <c r="V129" s="20">
        <f t="shared" ca="1" si="26"/>
        <v>0.56999999999999995</v>
      </c>
      <c r="W129" s="20">
        <f t="shared" ca="1" si="26"/>
        <v>0.88</v>
      </c>
      <c r="X129">
        <f t="shared" ca="1" si="22"/>
        <v>36.657380000000003</v>
      </c>
      <c r="Y129">
        <f t="shared" ca="1" si="23"/>
        <v>47.558059999999998</v>
      </c>
      <c r="Z129" s="19">
        <f t="shared" ca="1" si="27"/>
        <v>0.54</v>
      </c>
      <c r="AA129" s="19">
        <f t="shared" ca="1" si="27"/>
        <v>0.22</v>
      </c>
      <c r="AB129" s="19">
        <f t="shared" ca="1" si="27"/>
        <v>0.1</v>
      </c>
      <c r="AC129">
        <f t="shared" ca="1" si="24"/>
        <v>36.826549999999997</v>
      </c>
      <c r="AD129">
        <f t="shared" ca="1" si="25"/>
        <v>47.678890000000003</v>
      </c>
      <c r="AE129">
        <f t="shared" ca="1" si="17"/>
        <v>8435</v>
      </c>
      <c r="AF129">
        <f t="shared" ca="1" si="18"/>
        <v>36.843499999999999</v>
      </c>
      <c r="AI129" s="10" t="s">
        <v>40</v>
      </c>
      <c r="AJ129" t="str">
        <f t="shared" si="19"/>
        <v>BTR-80  #128</v>
      </c>
      <c r="AL129" s="10">
        <f t="shared" ca="1" si="20"/>
        <v>307</v>
      </c>
      <c r="AM129" s="10">
        <f t="shared" ca="1" si="21"/>
        <v>47.730700000000006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0.75</v>
      </c>
      <c r="V130" s="20">
        <f t="shared" ca="1" si="26"/>
        <v>0.83</v>
      </c>
      <c r="W130" s="20">
        <f t="shared" ca="1" si="26"/>
        <v>0.35</v>
      </c>
      <c r="X130">
        <f t="shared" ca="1" si="22"/>
        <v>36.722990000000003</v>
      </c>
      <c r="Y130">
        <f t="shared" ca="1" si="23"/>
        <v>47.581560000000003</v>
      </c>
      <c r="Z130" s="19">
        <f t="shared" ca="1" si="27"/>
        <v>0.94</v>
      </c>
      <c r="AA130" s="19">
        <f t="shared" ca="1" si="27"/>
        <v>0.6</v>
      </c>
      <c r="AB130" s="19">
        <f t="shared" ca="1" si="27"/>
        <v>0.67</v>
      </c>
      <c r="AC130">
        <f t="shared" ca="1" si="24"/>
        <v>36.81127</v>
      </c>
      <c r="AD130">
        <f t="shared" ca="1" si="25"/>
        <v>47.687220000000003</v>
      </c>
      <c r="AE130">
        <f t="shared" ca="1" si="17"/>
        <v>4849</v>
      </c>
      <c r="AF130">
        <f t="shared" ca="1" si="18"/>
        <v>36.484900000000003</v>
      </c>
      <c r="AI130" s="10" t="s">
        <v>39</v>
      </c>
      <c r="AJ130" t="str">
        <f t="shared" si="19"/>
        <v>BMP-2  #129</v>
      </c>
      <c r="AL130" s="10">
        <f t="shared" ca="1" si="20"/>
        <v>272</v>
      </c>
      <c r="AM130" s="10">
        <f t="shared" ca="1" si="21"/>
        <v>47.727200000000003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0.73</v>
      </c>
      <c r="V131" s="20">
        <f t="shared" ca="1" si="26"/>
        <v>0.91</v>
      </c>
      <c r="W131" s="20">
        <f t="shared" ca="1" si="26"/>
        <v>0.97</v>
      </c>
      <c r="X131">
        <f t="shared" ca="1" si="22"/>
        <v>36.787930000000003</v>
      </c>
      <c r="Y131">
        <f t="shared" ca="1" si="23"/>
        <v>47.694279999999999</v>
      </c>
      <c r="Z131" s="19">
        <f t="shared" ca="1" si="27"/>
        <v>0.43</v>
      </c>
      <c r="AA131" s="19">
        <f t="shared" ca="1" si="27"/>
        <v>0.26</v>
      </c>
      <c r="AB131" s="19">
        <f t="shared" ca="1" si="27"/>
        <v>0.91</v>
      </c>
      <c r="AC131">
        <f t="shared" ca="1" si="24"/>
        <v>36.826799999999999</v>
      </c>
      <c r="AD131">
        <f t="shared" ca="1" si="25"/>
        <v>47.674500000000002</v>
      </c>
      <c r="AE131">
        <f t="shared" ref="AE131:AE194" ca="1" si="28">RANDBETWEEN(0,10000)</f>
        <v>6269</v>
      </c>
      <c r="AF131">
        <f t="shared" ref="AF131:AF194" ca="1" si="29">36+AE131/10000</f>
        <v>36.626899999999999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214</v>
      </c>
      <c r="AM131" s="10">
        <f t="shared" ref="AM131:AM194" ca="1" si="32">47.7+AL131/10000</f>
        <v>47.721400000000003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0.8</v>
      </c>
      <c r="V132" s="20">
        <f t="shared" ca="1" si="26"/>
        <v>0.72</v>
      </c>
      <c r="W132" s="20">
        <f t="shared" ca="1" si="26"/>
        <v>0.02</v>
      </c>
      <c r="X132">
        <f t="shared" ca="1" si="22"/>
        <v>36.686549999999997</v>
      </c>
      <c r="Y132">
        <f t="shared" ca="1" si="23"/>
        <v>47.53369</v>
      </c>
      <c r="Z132" s="19">
        <f t="shared" ca="1" si="27"/>
        <v>0.37</v>
      </c>
      <c r="AA132" s="19">
        <f t="shared" ca="1" si="27"/>
        <v>0.05</v>
      </c>
      <c r="AB132" s="19">
        <f t="shared" ca="1" si="27"/>
        <v>0.28000000000000003</v>
      </c>
      <c r="AC132">
        <f t="shared" ca="1" si="24"/>
        <v>36.846870000000003</v>
      </c>
      <c r="AD132">
        <f t="shared" ca="1" si="25"/>
        <v>47.68882</v>
      </c>
      <c r="AE132">
        <f t="shared" ca="1" si="28"/>
        <v>1906</v>
      </c>
      <c r="AF132">
        <f t="shared" ca="1" si="29"/>
        <v>36.190600000000003</v>
      </c>
      <c r="AI132" s="10" t="s">
        <v>40</v>
      </c>
      <c r="AJ132" t="str">
        <f t="shared" si="30"/>
        <v>BTR-80  #131</v>
      </c>
      <c r="AL132" s="10">
        <f t="shared" ca="1" si="31"/>
        <v>277</v>
      </c>
      <c r="AM132" s="10">
        <f t="shared" ca="1" si="32"/>
        <v>47.727700000000006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0.14000000000000001</v>
      </c>
      <c r="V133" s="20">
        <f t="shared" ca="1" si="26"/>
        <v>0.85</v>
      </c>
      <c r="W133" s="20">
        <f t="shared" ca="1" si="26"/>
        <v>0.35</v>
      </c>
      <c r="X133">
        <f t="shared" ca="1" si="22"/>
        <v>36.572339999999997</v>
      </c>
      <c r="Y133">
        <f t="shared" ca="1" si="23"/>
        <v>47.575539999999997</v>
      </c>
      <c r="Z133" s="19">
        <f t="shared" ca="1" si="27"/>
        <v>0.97</v>
      </c>
      <c r="AA133" s="19">
        <f t="shared" ca="1" si="27"/>
        <v>0.28999999999999998</v>
      </c>
      <c r="AB133" s="19">
        <f t="shared" ca="1" si="27"/>
        <v>0.23</v>
      </c>
      <c r="AC133">
        <f t="shared" ca="1" si="24"/>
        <v>36.823070000000001</v>
      </c>
      <c r="AD133">
        <f t="shared" ca="1" si="25"/>
        <v>47.679270000000002</v>
      </c>
      <c r="AE133">
        <f t="shared" ca="1" si="28"/>
        <v>7080</v>
      </c>
      <c r="AF133">
        <f t="shared" ca="1" si="29"/>
        <v>36.707999999999998</v>
      </c>
      <c r="AI133" s="10" t="s">
        <v>39</v>
      </c>
      <c r="AJ133" t="str">
        <f t="shared" si="30"/>
        <v>BMP-2  #132</v>
      </c>
      <c r="AL133" s="10">
        <f t="shared" ca="1" si="31"/>
        <v>985</v>
      </c>
      <c r="AM133" s="10">
        <f t="shared" ca="1" si="32"/>
        <v>47.798500000000004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0.85</v>
      </c>
      <c r="V134" s="20">
        <f t="shared" ca="1" si="26"/>
        <v>0.95</v>
      </c>
      <c r="W134" s="20">
        <f t="shared" ca="1" si="26"/>
        <v>0.1</v>
      </c>
      <c r="X134">
        <f t="shared" ca="1" si="22"/>
        <v>36.707210000000003</v>
      </c>
      <c r="Y134">
        <f t="shared" ca="1" si="23"/>
        <v>47.524560000000001</v>
      </c>
      <c r="Z134" s="19">
        <f t="shared" ca="1" si="27"/>
        <v>0.36</v>
      </c>
      <c r="AA134" s="19">
        <f t="shared" ca="1" si="27"/>
        <v>0.47</v>
      </c>
      <c r="AB134" s="19">
        <f t="shared" ca="1" si="27"/>
        <v>0.02</v>
      </c>
      <c r="AC134">
        <f t="shared" ca="1" si="24"/>
        <v>36.849310000000003</v>
      </c>
      <c r="AD134">
        <f t="shared" ca="1" si="25"/>
        <v>47.66572</v>
      </c>
      <c r="AE134">
        <f t="shared" ca="1" si="28"/>
        <v>6066</v>
      </c>
      <c r="AF134">
        <f t="shared" ca="1" si="29"/>
        <v>36.6066</v>
      </c>
      <c r="AI134" s="10" t="s">
        <v>39</v>
      </c>
      <c r="AJ134" t="str">
        <f t="shared" si="30"/>
        <v>BMP-2  #133</v>
      </c>
      <c r="AL134" s="10">
        <f t="shared" ca="1" si="31"/>
        <v>399</v>
      </c>
      <c r="AM134" s="10">
        <f t="shared" ca="1" si="32"/>
        <v>47.739900000000006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0.64</v>
      </c>
      <c r="V135" s="20">
        <f t="shared" ca="1" si="26"/>
        <v>0.56000000000000005</v>
      </c>
      <c r="W135" s="20">
        <f t="shared" ca="1" si="26"/>
        <v>0.83</v>
      </c>
      <c r="X135">
        <f t="shared" ca="1" si="22"/>
        <v>36.736939999999997</v>
      </c>
      <c r="Y135">
        <f t="shared" ca="1" si="23"/>
        <v>47.67456</v>
      </c>
      <c r="Z135" s="19">
        <f t="shared" ca="1" si="27"/>
        <v>0.39</v>
      </c>
      <c r="AA135" s="19">
        <f t="shared" ca="1" si="27"/>
        <v>0.47</v>
      </c>
      <c r="AB135" s="19">
        <f t="shared" ca="1" si="27"/>
        <v>0.87</v>
      </c>
      <c r="AC135">
        <f t="shared" ca="1" si="24"/>
        <v>36.820180000000001</v>
      </c>
      <c r="AD135">
        <f t="shared" ca="1" si="25"/>
        <v>47.66572</v>
      </c>
      <c r="AE135">
        <f t="shared" ca="1" si="28"/>
        <v>1928</v>
      </c>
      <c r="AF135">
        <f t="shared" ca="1" si="29"/>
        <v>36.192799999999998</v>
      </c>
      <c r="AI135" s="10" t="s">
        <v>40</v>
      </c>
      <c r="AJ135" t="str">
        <f t="shared" si="30"/>
        <v>BTR-80  #134</v>
      </c>
      <c r="AL135" s="10">
        <f t="shared" ca="1" si="31"/>
        <v>170</v>
      </c>
      <c r="AM135" s="10">
        <f t="shared" ca="1" si="32"/>
        <v>47.717000000000006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0.96</v>
      </c>
      <c r="V136" s="20">
        <f t="shared" ca="1" si="26"/>
        <v>0.23</v>
      </c>
      <c r="W136" s="20">
        <f t="shared" ca="1" si="26"/>
        <v>0.7</v>
      </c>
      <c r="X136">
        <f t="shared" ca="1" si="22"/>
        <v>36.681530000000002</v>
      </c>
      <c r="Y136">
        <f t="shared" ca="1" si="23"/>
        <v>47.671230000000001</v>
      </c>
      <c r="Z136" s="19">
        <f t="shared" ca="1" si="27"/>
        <v>0.15</v>
      </c>
      <c r="AA136" s="19">
        <f t="shared" ca="1" si="27"/>
        <v>0.64</v>
      </c>
      <c r="AB136" s="19">
        <f t="shared" ca="1" si="27"/>
        <v>0.32</v>
      </c>
      <c r="AC136">
        <f t="shared" ca="1" si="24"/>
        <v>36.837200000000003</v>
      </c>
      <c r="AD136">
        <f t="shared" ca="1" si="25"/>
        <v>47.66</v>
      </c>
      <c r="AE136">
        <f t="shared" ca="1" si="28"/>
        <v>9769</v>
      </c>
      <c r="AF136">
        <f t="shared" ca="1" si="29"/>
        <v>36.976900000000001</v>
      </c>
      <c r="AI136" s="10" t="s">
        <v>39</v>
      </c>
      <c r="AJ136" t="str">
        <f t="shared" si="30"/>
        <v>BMP-2  #135</v>
      </c>
      <c r="AL136" s="10">
        <f t="shared" ca="1" si="31"/>
        <v>980</v>
      </c>
      <c r="AM136" s="10">
        <f t="shared" ca="1" si="32"/>
        <v>47.798000000000002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0.56000000000000005</v>
      </c>
      <c r="V137" s="20">
        <f t="shared" ca="1" si="26"/>
        <v>0.33</v>
      </c>
      <c r="W137" s="20">
        <f t="shared" ca="1" si="26"/>
        <v>0.84</v>
      </c>
      <c r="X137">
        <f t="shared" ca="1" si="22"/>
        <v>36.7057</v>
      </c>
      <c r="Y137">
        <f t="shared" ca="1" si="23"/>
        <v>47.681620000000002</v>
      </c>
      <c r="Z137" s="19">
        <f t="shared" ca="1" si="27"/>
        <v>0</v>
      </c>
      <c r="AA137" s="19">
        <f t="shared" ca="1" si="27"/>
        <v>0.9</v>
      </c>
      <c r="AB137" s="19">
        <f t="shared" ca="1" si="27"/>
        <v>0.35</v>
      </c>
      <c r="AC137">
        <f t="shared" ca="1" si="24"/>
        <v>36.833399999999997</v>
      </c>
      <c r="AD137">
        <f t="shared" ca="1" si="25"/>
        <v>47.652569999999997</v>
      </c>
      <c r="AE137">
        <f t="shared" ca="1" si="28"/>
        <v>8217</v>
      </c>
      <c r="AF137">
        <f t="shared" ca="1" si="29"/>
        <v>36.8217</v>
      </c>
      <c r="AI137" s="10" t="s">
        <v>39</v>
      </c>
      <c r="AJ137" t="str">
        <f t="shared" si="30"/>
        <v>BMP-2  #136</v>
      </c>
      <c r="AL137" s="10">
        <f t="shared" ca="1" si="31"/>
        <v>600</v>
      </c>
      <c r="AM137" s="10">
        <f t="shared" ca="1" si="32"/>
        <v>47.760000000000005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0.01</v>
      </c>
      <c r="V138" s="20">
        <f t="shared" ca="1" si="26"/>
        <v>0.14000000000000001</v>
      </c>
      <c r="W138" s="20">
        <f t="shared" ca="1" si="26"/>
        <v>0.24</v>
      </c>
      <c r="X138">
        <f t="shared" ca="1" si="22"/>
        <v>36.580539999999999</v>
      </c>
      <c r="Y138">
        <f t="shared" ca="1" si="23"/>
        <v>47.653599999999997</v>
      </c>
      <c r="Z138" s="19">
        <f t="shared" ca="1" si="27"/>
        <v>0.66</v>
      </c>
      <c r="AA138" s="19">
        <f t="shared" ca="1" si="27"/>
        <v>1</v>
      </c>
      <c r="AB138" s="19">
        <f t="shared" ca="1" si="27"/>
        <v>0.23</v>
      </c>
      <c r="AC138">
        <f t="shared" ca="1" si="24"/>
        <v>36.799999999999997</v>
      </c>
      <c r="AD138">
        <f t="shared" ca="1" si="25"/>
        <v>47.661499999999997</v>
      </c>
      <c r="AE138">
        <f t="shared" ca="1" si="28"/>
        <v>3934</v>
      </c>
      <c r="AF138">
        <f t="shared" ca="1" si="29"/>
        <v>36.3934</v>
      </c>
      <c r="AI138" s="10" t="s">
        <v>40</v>
      </c>
      <c r="AJ138" t="str">
        <f t="shared" si="30"/>
        <v>BTR-80  #137</v>
      </c>
      <c r="AL138" s="10">
        <f t="shared" ca="1" si="31"/>
        <v>946</v>
      </c>
      <c r="AM138" s="10">
        <f t="shared" ca="1" si="32"/>
        <v>47.794600000000003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0.34</v>
      </c>
      <c r="V139" s="20">
        <f t="shared" ca="1" si="26"/>
        <v>0.68</v>
      </c>
      <c r="W139" s="20">
        <f t="shared" ca="1" si="26"/>
        <v>0.64</v>
      </c>
      <c r="X139">
        <f t="shared" ca="1" si="22"/>
        <v>36.623089999999998</v>
      </c>
      <c r="Y139">
        <f t="shared" ca="1" si="23"/>
        <v>47.56476</v>
      </c>
      <c r="Z139" s="19">
        <f t="shared" ca="1" si="27"/>
        <v>0.59</v>
      </c>
      <c r="AA139" s="19">
        <f t="shared" ca="1" si="27"/>
        <v>0.9</v>
      </c>
      <c r="AB139" s="19">
        <f t="shared" ca="1" si="27"/>
        <v>0.94</v>
      </c>
      <c r="AC139">
        <f t="shared" ca="1" si="24"/>
        <v>36.802570000000003</v>
      </c>
      <c r="AD139">
        <f t="shared" ca="1" si="25"/>
        <v>47.697150000000001</v>
      </c>
      <c r="AE139">
        <f t="shared" ca="1" si="28"/>
        <v>51</v>
      </c>
      <c r="AF139">
        <f t="shared" ca="1" si="29"/>
        <v>36.005099999999999</v>
      </c>
      <c r="AI139" s="10" t="s">
        <v>41</v>
      </c>
      <c r="AJ139" t="str">
        <f t="shared" si="30"/>
        <v>Infantry Squad  #138</v>
      </c>
      <c r="AL139" s="10">
        <f t="shared" ca="1" si="31"/>
        <v>750</v>
      </c>
      <c r="AM139" s="10">
        <f t="shared" ca="1" si="32"/>
        <v>47.775000000000006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0.52</v>
      </c>
      <c r="V140" s="20">
        <f t="shared" ca="1" si="26"/>
        <v>0.56999999999999995</v>
      </c>
      <c r="W140" s="20">
        <f t="shared" ca="1" si="26"/>
        <v>0.88</v>
      </c>
      <c r="X140">
        <f t="shared" ca="1" si="22"/>
        <v>36.74194</v>
      </c>
      <c r="Y140">
        <f t="shared" ca="1" si="23"/>
        <v>47.68188</v>
      </c>
      <c r="Z140" s="19">
        <f t="shared" ca="1" si="27"/>
        <v>0.9</v>
      </c>
      <c r="AA140" s="19">
        <f t="shared" ca="1" si="27"/>
        <v>0.12</v>
      </c>
      <c r="AB140" s="19">
        <f t="shared" ca="1" si="27"/>
        <v>0.66</v>
      </c>
      <c r="AC140">
        <f t="shared" ca="1" si="24"/>
        <v>36.832680000000003</v>
      </c>
      <c r="AD140">
        <f t="shared" ca="1" si="25"/>
        <v>47.694110000000002</v>
      </c>
      <c r="AE140">
        <f t="shared" ca="1" si="28"/>
        <v>9095</v>
      </c>
      <c r="AF140">
        <f t="shared" ca="1" si="29"/>
        <v>36.909500000000001</v>
      </c>
      <c r="AI140" s="10" t="s">
        <v>41</v>
      </c>
      <c r="AJ140" t="str">
        <f t="shared" si="30"/>
        <v>Infantry Squad  #139</v>
      </c>
      <c r="AL140" s="10">
        <f t="shared" ca="1" si="31"/>
        <v>690</v>
      </c>
      <c r="AM140" s="10">
        <f t="shared" ca="1" si="32"/>
        <v>47.769000000000005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0.28000000000000003</v>
      </c>
      <c r="V141" s="20">
        <f t="shared" ca="1" si="26"/>
        <v>0.61</v>
      </c>
      <c r="W141" s="20">
        <f t="shared" ca="1" si="26"/>
        <v>0.05</v>
      </c>
      <c r="X141">
        <f t="shared" ca="1" si="22"/>
        <v>36.529710000000001</v>
      </c>
      <c r="Y141">
        <f t="shared" ca="1" si="23"/>
        <v>47.617989999999999</v>
      </c>
      <c r="Z141" s="19">
        <f t="shared" ca="1" si="27"/>
        <v>0.09</v>
      </c>
      <c r="AA141" s="19">
        <f t="shared" ca="1" si="27"/>
        <v>0.54</v>
      </c>
      <c r="AB141" s="19">
        <f t="shared" ca="1" si="27"/>
        <v>0.21</v>
      </c>
      <c r="AC141">
        <f t="shared" ca="1" si="24"/>
        <v>36.842280000000002</v>
      </c>
      <c r="AD141">
        <f t="shared" ca="1" si="25"/>
        <v>47.663260000000001</v>
      </c>
      <c r="AE141">
        <f t="shared" ca="1" si="28"/>
        <v>8823</v>
      </c>
      <c r="AF141">
        <f t="shared" ca="1" si="29"/>
        <v>36.882300000000001</v>
      </c>
      <c r="AI141" s="10" t="s">
        <v>41</v>
      </c>
      <c r="AJ141" t="str">
        <f t="shared" si="30"/>
        <v>Infantry Squad  #140</v>
      </c>
      <c r="AL141" s="10">
        <f t="shared" ca="1" si="31"/>
        <v>539</v>
      </c>
      <c r="AM141" s="10">
        <f t="shared" ca="1" si="32"/>
        <v>47.753900000000002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0.33</v>
      </c>
      <c r="V142" s="20">
        <f t="shared" ca="1" si="26"/>
        <v>0.45</v>
      </c>
      <c r="W142" s="20">
        <f t="shared" ca="1" si="26"/>
        <v>0.35</v>
      </c>
      <c r="X142">
        <f t="shared" ca="1" si="22"/>
        <v>36.579880000000003</v>
      </c>
      <c r="Y142">
        <f t="shared" ca="1" si="23"/>
        <v>47.609439999999999</v>
      </c>
      <c r="Z142" s="19">
        <f t="shared" ca="1" si="27"/>
        <v>0.54</v>
      </c>
      <c r="AA142" s="19">
        <f t="shared" ca="1" si="27"/>
        <v>0.65</v>
      </c>
      <c r="AB142" s="19">
        <f t="shared" ca="1" si="27"/>
        <v>0.73</v>
      </c>
      <c r="AC142">
        <f t="shared" ca="1" si="24"/>
        <v>36.809690000000003</v>
      </c>
      <c r="AD142">
        <f t="shared" ca="1" si="25"/>
        <v>47.689120000000003</v>
      </c>
      <c r="AE142">
        <f t="shared" ca="1" si="28"/>
        <v>780</v>
      </c>
      <c r="AF142">
        <f t="shared" ca="1" si="29"/>
        <v>36.078000000000003</v>
      </c>
      <c r="AI142" s="10" t="s">
        <v>37</v>
      </c>
      <c r="AJ142" t="str">
        <f t="shared" si="30"/>
        <v>T-72B3 Tank  #141</v>
      </c>
      <c r="AL142" s="10">
        <f t="shared" ca="1" si="31"/>
        <v>423</v>
      </c>
      <c r="AM142" s="10">
        <f t="shared" ca="1" si="32"/>
        <v>47.7423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0.39</v>
      </c>
      <c r="V143" s="20">
        <f t="shared" ca="1" si="26"/>
        <v>0.13</v>
      </c>
      <c r="W143" s="20">
        <f t="shared" ca="1" si="26"/>
        <v>0.65</v>
      </c>
      <c r="X143">
        <f t="shared" ca="1" si="22"/>
        <v>36.610819999999997</v>
      </c>
      <c r="Y143">
        <f t="shared" ca="1" si="23"/>
        <v>47.640509999999999</v>
      </c>
      <c r="Z143" s="19">
        <f t="shared" ca="1" si="27"/>
        <v>0.6</v>
      </c>
      <c r="AA143" s="19">
        <f t="shared" ca="1" si="27"/>
        <v>0.2</v>
      </c>
      <c r="AB143" s="19">
        <f t="shared" ca="1" si="27"/>
        <v>0.2</v>
      </c>
      <c r="AC143">
        <f t="shared" ca="1" si="24"/>
        <v>36.827640000000002</v>
      </c>
      <c r="AD143">
        <f t="shared" ca="1" si="25"/>
        <v>47.682110000000002</v>
      </c>
      <c r="AE143">
        <f t="shared" ca="1" si="28"/>
        <v>3491</v>
      </c>
      <c r="AF143">
        <f t="shared" ca="1" si="29"/>
        <v>36.3491</v>
      </c>
      <c r="AI143" s="10" t="s">
        <v>37</v>
      </c>
      <c r="AJ143" t="str">
        <f t="shared" si="30"/>
        <v>T-72B3 Tank  #142</v>
      </c>
      <c r="AL143" s="10">
        <f t="shared" ca="1" si="31"/>
        <v>544</v>
      </c>
      <c r="AM143" s="10">
        <f t="shared" ca="1" si="32"/>
        <v>47.754400000000004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0.37</v>
      </c>
      <c r="V144" s="20">
        <f t="shared" ca="1" si="26"/>
        <v>0.3</v>
      </c>
      <c r="W144" s="20">
        <f t="shared" ca="1" si="26"/>
        <v>0.34</v>
      </c>
      <c r="X144">
        <f t="shared" ca="1" si="22"/>
        <v>36.582470000000001</v>
      </c>
      <c r="Y144">
        <f t="shared" ca="1" si="23"/>
        <v>47.626609999999999</v>
      </c>
      <c r="Z144" s="19">
        <f t="shared" ca="1" si="27"/>
        <v>0.86</v>
      </c>
      <c r="AA144" s="19">
        <f t="shared" ca="1" si="27"/>
        <v>0.51</v>
      </c>
      <c r="AB144" s="19">
        <f t="shared" ca="1" si="27"/>
        <v>0.92</v>
      </c>
      <c r="AC144">
        <f t="shared" ca="1" si="24"/>
        <v>36.81429</v>
      </c>
      <c r="AD144">
        <f t="shared" ca="1" si="25"/>
        <v>47.697139999999997</v>
      </c>
      <c r="AE144">
        <f t="shared" ca="1" si="28"/>
        <v>6836</v>
      </c>
      <c r="AF144">
        <f t="shared" ca="1" si="29"/>
        <v>36.683599999999998</v>
      </c>
      <c r="AI144" s="10" t="s">
        <v>38</v>
      </c>
      <c r="AJ144" t="str">
        <f t="shared" si="30"/>
        <v>T-80BVM Tank  #143</v>
      </c>
      <c r="AL144" s="10">
        <f t="shared" ca="1" si="31"/>
        <v>424</v>
      </c>
      <c r="AM144" s="10">
        <f t="shared" ca="1" si="32"/>
        <v>47.742400000000004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0.46</v>
      </c>
      <c r="V145" s="20">
        <f t="shared" ca="1" si="26"/>
        <v>0.87</v>
      </c>
      <c r="W145" s="20">
        <f t="shared" ca="1" si="26"/>
        <v>0.95</v>
      </c>
      <c r="X145">
        <f t="shared" ca="1" si="22"/>
        <v>36.781880000000001</v>
      </c>
      <c r="Y145">
        <f t="shared" ca="1" si="23"/>
        <v>47.690669999999997</v>
      </c>
      <c r="Z145" s="19">
        <f t="shared" ca="1" si="27"/>
        <v>0.64</v>
      </c>
      <c r="AA145" s="19">
        <f t="shared" ca="1" si="27"/>
        <v>0.95</v>
      </c>
      <c r="AB145" s="19">
        <f t="shared" ca="1" si="27"/>
        <v>0.98</v>
      </c>
      <c r="AC145">
        <f t="shared" ca="1" si="24"/>
        <v>36.801270000000002</v>
      </c>
      <c r="AD145">
        <f t="shared" ca="1" si="25"/>
        <v>47.69903</v>
      </c>
      <c r="AE145">
        <f t="shared" ca="1" si="28"/>
        <v>3875</v>
      </c>
      <c r="AF145">
        <f t="shared" ca="1" si="29"/>
        <v>36.387500000000003</v>
      </c>
      <c r="AI145" s="10" t="s">
        <v>37</v>
      </c>
      <c r="AJ145" t="str">
        <f t="shared" si="30"/>
        <v>T-72B3 Tank  #144</v>
      </c>
      <c r="AL145" s="10">
        <f t="shared" ca="1" si="31"/>
        <v>729</v>
      </c>
      <c r="AM145" s="10">
        <f t="shared" ca="1" si="32"/>
        <v>47.7729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0.33</v>
      </c>
      <c r="V146" s="20">
        <f t="shared" ca="1" si="26"/>
        <v>0.85</v>
      </c>
      <c r="W146" s="20">
        <f t="shared" ca="1" si="26"/>
        <v>1</v>
      </c>
      <c r="X146">
        <f t="shared" ca="1" si="22"/>
        <v>36.6922</v>
      </c>
      <c r="Y146">
        <f t="shared" ca="1" si="23"/>
        <v>47.515610000000002</v>
      </c>
      <c r="Z146" s="19">
        <f t="shared" ca="1" si="27"/>
        <v>0.09</v>
      </c>
      <c r="AA146" s="19">
        <f t="shared" ca="1" si="27"/>
        <v>0.99</v>
      </c>
      <c r="AB146" s="19">
        <f t="shared" ca="1" si="27"/>
        <v>0.93</v>
      </c>
      <c r="AC146">
        <f t="shared" ca="1" si="24"/>
        <v>36.803730000000002</v>
      </c>
      <c r="AD146">
        <f t="shared" ca="1" si="25"/>
        <v>47.65025</v>
      </c>
      <c r="AE146">
        <f t="shared" ca="1" si="28"/>
        <v>2745</v>
      </c>
      <c r="AF146">
        <f t="shared" ca="1" si="29"/>
        <v>36.274500000000003</v>
      </c>
      <c r="AI146" s="10" t="s">
        <v>38</v>
      </c>
      <c r="AJ146" t="str">
        <f t="shared" si="30"/>
        <v>T-80BVM Tank  #145</v>
      </c>
      <c r="AL146" s="10">
        <f t="shared" ca="1" si="31"/>
        <v>529</v>
      </c>
      <c r="AM146" s="10">
        <f t="shared" ca="1" si="32"/>
        <v>47.752900000000004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0.63</v>
      </c>
      <c r="V147" s="20">
        <f t="shared" ca="1" si="26"/>
        <v>0.8</v>
      </c>
      <c r="W147" s="20">
        <f t="shared" ca="1" si="26"/>
        <v>0.5</v>
      </c>
      <c r="X147">
        <f t="shared" ca="1" si="22"/>
        <v>36.734160000000003</v>
      </c>
      <c r="Y147">
        <f t="shared" ca="1" si="23"/>
        <v>47.61056</v>
      </c>
      <c r="Z147" s="19">
        <f t="shared" ca="1" si="27"/>
        <v>0.4</v>
      </c>
      <c r="AA147" s="19">
        <f t="shared" ca="1" si="27"/>
        <v>0.57999999999999996</v>
      </c>
      <c r="AB147" s="19">
        <f t="shared" ca="1" si="27"/>
        <v>0.82</v>
      </c>
      <c r="AC147">
        <f t="shared" ca="1" si="24"/>
        <v>36.818779999999997</v>
      </c>
      <c r="AD147">
        <f t="shared" ca="1" si="25"/>
        <v>47.661920000000002</v>
      </c>
      <c r="AE147">
        <f t="shared" ca="1" si="28"/>
        <v>7064</v>
      </c>
      <c r="AF147">
        <f t="shared" ca="1" si="29"/>
        <v>36.706400000000002</v>
      </c>
      <c r="AI147" s="10" t="s">
        <v>39</v>
      </c>
      <c r="AJ147" t="str">
        <f t="shared" si="30"/>
        <v>BMP-2  #146</v>
      </c>
      <c r="AL147" s="10">
        <f t="shared" ca="1" si="31"/>
        <v>86</v>
      </c>
      <c r="AM147" s="10">
        <f t="shared" ca="1" si="32"/>
        <v>47.708600000000004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0.2</v>
      </c>
      <c r="V148" s="20">
        <f t="shared" ca="1" si="26"/>
        <v>0.09</v>
      </c>
      <c r="W148" s="20">
        <f t="shared" ca="1" si="26"/>
        <v>0.33</v>
      </c>
      <c r="X148">
        <f t="shared" ca="1" si="22"/>
        <v>36.589799999999997</v>
      </c>
      <c r="Y148">
        <f t="shared" ca="1" si="23"/>
        <v>47.6601</v>
      </c>
      <c r="Z148" s="19">
        <f t="shared" ca="1" si="27"/>
        <v>0.74</v>
      </c>
      <c r="AA148" s="19">
        <f t="shared" ca="1" si="27"/>
        <v>0.21</v>
      </c>
      <c r="AB148" s="19">
        <f t="shared" ca="1" si="27"/>
        <v>0.8</v>
      </c>
      <c r="AC148">
        <f t="shared" ca="1" si="24"/>
        <v>36.827089999999998</v>
      </c>
      <c r="AD148">
        <f t="shared" ca="1" si="25"/>
        <v>47.695419999999999</v>
      </c>
      <c r="AE148">
        <f t="shared" ca="1" si="28"/>
        <v>9459</v>
      </c>
      <c r="AF148">
        <f t="shared" ca="1" si="29"/>
        <v>36.945900000000002</v>
      </c>
      <c r="AI148" s="10" t="s">
        <v>39</v>
      </c>
      <c r="AJ148" t="str">
        <f t="shared" si="30"/>
        <v>BMP-2  #147</v>
      </c>
      <c r="AL148" s="10">
        <f t="shared" ca="1" si="31"/>
        <v>614</v>
      </c>
      <c r="AM148" s="10">
        <f t="shared" ca="1" si="32"/>
        <v>47.761400000000002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0.69</v>
      </c>
      <c r="V149" s="20">
        <f t="shared" ca="1" si="26"/>
        <v>0.9</v>
      </c>
      <c r="W149" s="20">
        <f t="shared" ca="1" si="26"/>
        <v>0.47</v>
      </c>
      <c r="X149">
        <f t="shared" ca="1" si="22"/>
        <v>36.739460000000001</v>
      </c>
      <c r="Y149">
        <f t="shared" ca="1" si="23"/>
        <v>47.599440000000001</v>
      </c>
      <c r="Z149" s="19">
        <f t="shared" ca="1" si="27"/>
        <v>0.72</v>
      </c>
      <c r="AA149" s="19">
        <f t="shared" ca="1" si="27"/>
        <v>0.78</v>
      </c>
      <c r="AB149" s="19">
        <f t="shared" ca="1" si="27"/>
        <v>7.0000000000000007E-2</v>
      </c>
      <c r="AC149">
        <f t="shared" ca="1" si="24"/>
        <v>36.805840000000003</v>
      </c>
      <c r="AD149">
        <f t="shared" ca="1" si="25"/>
        <v>47.658929999999998</v>
      </c>
      <c r="AE149">
        <f t="shared" ca="1" si="28"/>
        <v>4037</v>
      </c>
      <c r="AF149">
        <f t="shared" ca="1" si="29"/>
        <v>36.403700000000001</v>
      </c>
      <c r="AI149" s="10" t="s">
        <v>40</v>
      </c>
      <c r="AJ149" t="str">
        <f t="shared" si="30"/>
        <v>BTR-80  #148</v>
      </c>
      <c r="AL149" s="10">
        <f t="shared" ca="1" si="31"/>
        <v>306</v>
      </c>
      <c r="AM149" s="10">
        <f t="shared" ca="1" si="32"/>
        <v>47.730600000000003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0.19</v>
      </c>
      <c r="V150" s="20">
        <f t="shared" ca="1" si="26"/>
        <v>0.22</v>
      </c>
      <c r="W150" s="20">
        <f t="shared" ca="1" si="26"/>
        <v>0.14000000000000001</v>
      </c>
      <c r="X150">
        <f t="shared" ca="1" si="22"/>
        <v>36.566229999999997</v>
      </c>
      <c r="Y150">
        <f t="shared" ca="1" si="23"/>
        <v>47.646529999999998</v>
      </c>
      <c r="Z150" s="19">
        <f t="shared" ca="1" si="27"/>
        <v>0.11</v>
      </c>
      <c r="AA150" s="19">
        <f t="shared" ca="1" si="27"/>
        <v>0.69</v>
      </c>
      <c r="AB150" s="19">
        <f t="shared" ca="1" si="27"/>
        <v>0.85</v>
      </c>
      <c r="AC150">
        <f t="shared" ca="1" si="24"/>
        <v>36.814700000000002</v>
      </c>
      <c r="AD150">
        <f t="shared" ca="1" si="25"/>
        <v>47.658470000000001</v>
      </c>
      <c r="AE150">
        <f t="shared" ca="1" si="28"/>
        <v>3901</v>
      </c>
      <c r="AF150">
        <f t="shared" ca="1" si="29"/>
        <v>36.390099999999997</v>
      </c>
      <c r="AI150" s="10" t="s">
        <v>39</v>
      </c>
      <c r="AJ150" t="str">
        <f t="shared" si="30"/>
        <v>BMP-2  #149</v>
      </c>
      <c r="AL150" s="10">
        <f t="shared" ca="1" si="31"/>
        <v>68</v>
      </c>
      <c r="AM150" s="10">
        <f t="shared" ca="1" si="32"/>
        <v>47.706800000000001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7.0000000000000007E-2</v>
      </c>
      <c r="V151" s="20">
        <f t="shared" ca="1" si="26"/>
        <v>0.45</v>
      </c>
      <c r="W151" s="20">
        <f t="shared" ca="1" si="26"/>
        <v>0.95</v>
      </c>
      <c r="X151">
        <f t="shared" ca="1" si="22"/>
        <v>36.66037</v>
      </c>
      <c r="Y151">
        <f t="shared" ca="1" si="23"/>
        <v>47.569189999999999</v>
      </c>
      <c r="Z151" s="19">
        <f t="shared" ca="1" si="27"/>
        <v>0.14000000000000001</v>
      </c>
      <c r="AA151" s="19">
        <f t="shared" ca="1" si="27"/>
        <v>0.62</v>
      </c>
      <c r="AB151" s="19">
        <f t="shared" ca="1" si="27"/>
        <v>0.15</v>
      </c>
      <c r="AC151">
        <f t="shared" ca="1" si="24"/>
        <v>36.844090000000001</v>
      </c>
      <c r="AD151">
        <f t="shared" ca="1" si="25"/>
        <v>47.660629999999998</v>
      </c>
      <c r="AE151">
        <f t="shared" ca="1" si="28"/>
        <v>1990</v>
      </c>
      <c r="AF151">
        <f t="shared" ca="1" si="29"/>
        <v>36.198999999999998</v>
      </c>
      <c r="AI151" s="10" t="s">
        <v>39</v>
      </c>
      <c r="AJ151" t="str">
        <f t="shared" si="30"/>
        <v>BMP-2  #150</v>
      </c>
      <c r="AL151" s="10">
        <f t="shared" ca="1" si="31"/>
        <v>816</v>
      </c>
      <c r="AM151" s="10">
        <f t="shared" ca="1" si="32"/>
        <v>47.781600000000005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0.31</v>
      </c>
      <c r="V152" s="20">
        <f t="shared" ca="1" si="26"/>
        <v>0.63</v>
      </c>
      <c r="W152" s="20">
        <f t="shared" ca="1" si="26"/>
        <v>0.8</v>
      </c>
      <c r="X152">
        <f t="shared" ca="1" si="22"/>
        <v>36.647620000000003</v>
      </c>
      <c r="Y152">
        <f t="shared" ca="1" si="23"/>
        <v>47.557130000000001</v>
      </c>
      <c r="Z152" s="19">
        <f t="shared" ca="1" si="27"/>
        <v>0.57999999999999996</v>
      </c>
      <c r="AA152" s="19">
        <f t="shared" ca="1" si="27"/>
        <v>0.45</v>
      </c>
      <c r="AB152" s="19">
        <f t="shared" ca="1" si="27"/>
        <v>0.68</v>
      </c>
      <c r="AC152">
        <f t="shared" ca="1" si="24"/>
        <v>36.816459999999999</v>
      </c>
      <c r="AD152">
        <f t="shared" ca="1" si="25"/>
        <v>47.68927</v>
      </c>
      <c r="AE152">
        <f t="shared" ca="1" si="28"/>
        <v>7577</v>
      </c>
      <c r="AF152">
        <f t="shared" ca="1" si="29"/>
        <v>36.7577</v>
      </c>
      <c r="AI152" s="10" t="s">
        <v>40</v>
      </c>
      <c r="AJ152" t="str">
        <f t="shared" si="30"/>
        <v>BTR-80  #151</v>
      </c>
      <c r="AL152" s="10">
        <f t="shared" ca="1" si="31"/>
        <v>17</v>
      </c>
      <c r="AM152" s="10">
        <f t="shared" ca="1" si="32"/>
        <v>47.701700000000002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0.11</v>
      </c>
      <c r="V153" s="20">
        <f t="shared" ca="1" si="26"/>
        <v>0.09</v>
      </c>
      <c r="W153" s="20">
        <f t="shared" ca="1" si="26"/>
        <v>0.18</v>
      </c>
      <c r="X153">
        <f t="shared" ca="1" si="22"/>
        <v>36.580800000000004</v>
      </c>
      <c r="Y153">
        <f t="shared" ca="1" si="23"/>
        <v>47.6646</v>
      </c>
      <c r="Z153" s="19">
        <f t="shared" ca="1" si="27"/>
        <v>0.97</v>
      </c>
      <c r="AA153" s="19">
        <f t="shared" ca="1" si="27"/>
        <v>0.45</v>
      </c>
      <c r="AB153" s="19">
        <f t="shared" ca="1" si="27"/>
        <v>0.62</v>
      </c>
      <c r="AC153">
        <f t="shared" ca="1" si="24"/>
        <v>36.816459999999999</v>
      </c>
      <c r="AD153">
        <f t="shared" ca="1" si="25"/>
        <v>47.687249999999999</v>
      </c>
      <c r="AE153">
        <f t="shared" ca="1" si="28"/>
        <v>8940</v>
      </c>
      <c r="AF153">
        <f t="shared" ca="1" si="29"/>
        <v>36.893999999999998</v>
      </c>
      <c r="AI153" s="10" t="s">
        <v>39</v>
      </c>
      <c r="AJ153" t="str">
        <f t="shared" si="30"/>
        <v>BMP-2  #152</v>
      </c>
      <c r="AL153" s="10">
        <f t="shared" ca="1" si="31"/>
        <v>811</v>
      </c>
      <c r="AM153" s="10">
        <f t="shared" ca="1" si="32"/>
        <v>47.781100000000002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0.72</v>
      </c>
      <c r="V154" s="20">
        <f t="shared" ca="1" si="26"/>
        <v>0.59</v>
      </c>
      <c r="W154" s="20">
        <f t="shared" ca="1" si="26"/>
        <v>0.21</v>
      </c>
      <c r="X154">
        <f t="shared" ca="1" si="22"/>
        <v>36.69294</v>
      </c>
      <c r="Y154">
        <f t="shared" ca="1" si="23"/>
        <v>47.57864</v>
      </c>
      <c r="Z154" s="19">
        <f t="shared" ca="1" si="27"/>
        <v>0.4</v>
      </c>
      <c r="AA154" s="19">
        <f t="shared" ca="1" si="27"/>
        <v>0.09</v>
      </c>
      <c r="AB154" s="19">
        <f t="shared" ca="1" si="27"/>
        <v>0.52</v>
      </c>
      <c r="AC154">
        <f t="shared" ca="1" si="24"/>
        <v>36.842199999999998</v>
      </c>
      <c r="AD154">
        <f t="shared" ca="1" si="25"/>
        <v>47.685000000000002</v>
      </c>
      <c r="AE154">
        <f t="shared" ca="1" si="28"/>
        <v>2452</v>
      </c>
      <c r="AF154">
        <f t="shared" ca="1" si="29"/>
        <v>36.245199999999997</v>
      </c>
      <c r="AI154" s="10" t="s">
        <v>39</v>
      </c>
      <c r="AJ154" t="str">
        <f t="shared" si="30"/>
        <v>BMP-2  #153</v>
      </c>
      <c r="AL154" s="10">
        <f t="shared" ca="1" si="31"/>
        <v>236</v>
      </c>
      <c r="AM154" s="10">
        <f t="shared" ca="1" si="32"/>
        <v>47.723600000000005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0.22</v>
      </c>
      <c r="V155" s="20">
        <f t="shared" ca="1" si="26"/>
        <v>0.41</v>
      </c>
      <c r="W155" s="20">
        <f t="shared" ca="1" si="26"/>
        <v>0.83</v>
      </c>
      <c r="X155">
        <f t="shared" ca="1" si="22"/>
        <v>36.64226</v>
      </c>
      <c r="Y155">
        <f t="shared" ca="1" si="23"/>
        <v>47.582819999999998</v>
      </c>
      <c r="Z155" s="19">
        <f t="shared" ca="1" si="27"/>
        <v>0.5</v>
      </c>
      <c r="AA155" s="19">
        <f t="shared" ca="1" si="27"/>
        <v>0.92</v>
      </c>
      <c r="AB155" s="19">
        <f t="shared" ca="1" si="27"/>
        <v>0.95</v>
      </c>
      <c r="AC155">
        <f t="shared" ca="1" si="24"/>
        <v>36.802039999999998</v>
      </c>
      <c r="AD155">
        <f t="shared" ca="1" si="25"/>
        <v>47.697600000000001</v>
      </c>
      <c r="AE155">
        <f t="shared" ca="1" si="28"/>
        <v>7936</v>
      </c>
      <c r="AF155">
        <f t="shared" ca="1" si="29"/>
        <v>36.793599999999998</v>
      </c>
      <c r="AI155" s="10" t="s">
        <v>40</v>
      </c>
      <c r="AJ155" t="str">
        <f t="shared" si="30"/>
        <v>BTR-80  #154</v>
      </c>
      <c r="AL155" s="10">
        <f t="shared" ca="1" si="31"/>
        <v>274</v>
      </c>
      <c r="AM155" s="10">
        <f t="shared" ca="1" si="32"/>
        <v>47.727400000000003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0.57999999999999996</v>
      </c>
      <c r="V156" s="20">
        <f t="shared" ca="1" si="26"/>
        <v>0.96</v>
      </c>
      <c r="W156" s="20">
        <f t="shared" ca="1" si="26"/>
        <v>0.75</v>
      </c>
      <c r="X156">
        <f t="shared" ca="1" si="22"/>
        <v>36.771459999999998</v>
      </c>
      <c r="Y156">
        <f t="shared" ca="1" si="23"/>
        <v>47.651009999999999</v>
      </c>
      <c r="Z156" s="19">
        <f t="shared" ca="1" si="27"/>
        <v>0.04</v>
      </c>
      <c r="AA156" s="19">
        <f t="shared" ca="1" si="27"/>
        <v>0.71</v>
      </c>
      <c r="AB156" s="19">
        <f t="shared" ca="1" si="27"/>
        <v>0.17</v>
      </c>
      <c r="AC156">
        <f t="shared" ca="1" si="24"/>
        <v>36.842840000000002</v>
      </c>
      <c r="AD156">
        <f t="shared" ca="1" si="25"/>
        <v>47.657870000000003</v>
      </c>
      <c r="AE156">
        <f t="shared" ca="1" si="28"/>
        <v>6031</v>
      </c>
      <c r="AF156">
        <f t="shared" ca="1" si="29"/>
        <v>36.603099999999998</v>
      </c>
      <c r="AI156" s="10" t="s">
        <v>39</v>
      </c>
      <c r="AJ156" t="str">
        <f t="shared" si="30"/>
        <v>BMP-2  #155</v>
      </c>
      <c r="AL156" s="10">
        <f t="shared" ca="1" si="31"/>
        <v>592</v>
      </c>
      <c r="AM156" s="10">
        <f t="shared" ca="1" si="32"/>
        <v>47.7592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0.87</v>
      </c>
      <c r="V157" s="20">
        <f t="shared" ca="1" si="26"/>
        <v>0.47</v>
      </c>
      <c r="W157" s="20">
        <f t="shared" ca="1" si="26"/>
        <v>0.67</v>
      </c>
      <c r="X157">
        <f t="shared" ca="1" si="22"/>
        <v>36.714489999999998</v>
      </c>
      <c r="Y157">
        <f t="shared" ca="1" si="23"/>
        <v>47.65475</v>
      </c>
      <c r="Z157" s="19">
        <f t="shared" ca="1" si="27"/>
        <v>0.89</v>
      </c>
      <c r="AA157" s="19">
        <f t="shared" ca="1" si="27"/>
        <v>0.17</v>
      </c>
      <c r="AB157" s="19">
        <f t="shared" ca="1" si="27"/>
        <v>0.01</v>
      </c>
      <c r="AC157">
        <f t="shared" ca="1" si="24"/>
        <v>36.82938</v>
      </c>
      <c r="AD157">
        <f t="shared" ca="1" si="25"/>
        <v>47.679589999999997</v>
      </c>
      <c r="AE157">
        <f t="shared" ca="1" si="28"/>
        <v>4506</v>
      </c>
      <c r="AF157">
        <f t="shared" ca="1" si="29"/>
        <v>36.450600000000001</v>
      </c>
      <c r="AI157" s="10" t="s">
        <v>39</v>
      </c>
      <c r="AJ157" t="str">
        <f t="shared" si="30"/>
        <v>BMP-2  #156</v>
      </c>
      <c r="AL157" s="10">
        <f t="shared" ca="1" si="31"/>
        <v>125</v>
      </c>
      <c r="AM157" s="10">
        <f t="shared" ca="1" si="32"/>
        <v>47.712500000000006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0.08</v>
      </c>
      <c r="V158" s="20">
        <f t="shared" ca="1" si="26"/>
        <v>0.24</v>
      </c>
      <c r="W158" s="20">
        <f t="shared" ca="1" si="26"/>
        <v>0.22</v>
      </c>
      <c r="X158">
        <f t="shared" ca="1" si="22"/>
        <v>36.572569999999999</v>
      </c>
      <c r="Y158">
        <f t="shared" ca="1" si="23"/>
        <v>47.640230000000003</v>
      </c>
      <c r="Z158" s="19">
        <f t="shared" ca="1" si="27"/>
        <v>0.65</v>
      </c>
      <c r="AA158" s="19">
        <f t="shared" ca="1" si="27"/>
        <v>0.42</v>
      </c>
      <c r="AB158" s="19">
        <f t="shared" ca="1" si="27"/>
        <v>0.31</v>
      </c>
      <c r="AC158">
        <f t="shared" ca="1" si="24"/>
        <v>36.817599999999999</v>
      </c>
      <c r="AD158">
        <f t="shared" ca="1" si="25"/>
        <v>47.677639999999997</v>
      </c>
      <c r="AE158">
        <f t="shared" ca="1" si="28"/>
        <v>3126</v>
      </c>
      <c r="AF158">
        <f t="shared" ca="1" si="29"/>
        <v>36.312600000000003</v>
      </c>
      <c r="AI158" s="10" t="s">
        <v>40</v>
      </c>
      <c r="AJ158" t="str">
        <f t="shared" si="30"/>
        <v>BTR-80  #157</v>
      </c>
      <c r="AL158" s="10">
        <f t="shared" ca="1" si="31"/>
        <v>365</v>
      </c>
      <c r="AM158" s="10">
        <f t="shared" ca="1" si="32"/>
        <v>47.736499999999999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0.96</v>
      </c>
      <c r="V159" s="20">
        <f t="shared" ca="1" si="26"/>
        <v>0.03</v>
      </c>
      <c r="W159" s="20">
        <f t="shared" ca="1" si="26"/>
        <v>0.7</v>
      </c>
      <c r="X159">
        <f t="shared" ca="1" si="22"/>
        <v>36.629440000000002</v>
      </c>
      <c r="Y159">
        <f t="shared" ca="1" si="23"/>
        <v>47.689610000000002</v>
      </c>
      <c r="Z159" s="19">
        <f t="shared" ca="1" si="27"/>
        <v>0.27</v>
      </c>
      <c r="AA159" s="19">
        <f t="shared" ca="1" si="27"/>
        <v>0.84</v>
      </c>
      <c r="AB159" s="19">
        <f t="shared" ca="1" si="27"/>
        <v>0.17</v>
      </c>
      <c r="AC159">
        <f t="shared" ca="1" si="24"/>
        <v>36.842210000000001</v>
      </c>
      <c r="AD159">
        <f t="shared" ca="1" si="25"/>
        <v>47.654170000000001</v>
      </c>
      <c r="AE159">
        <f t="shared" ca="1" si="28"/>
        <v>7570</v>
      </c>
      <c r="AF159">
        <f t="shared" ca="1" si="29"/>
        <v>36.756999999999998</v>
      </c>
      <c r="AI159" s="10" t="s">
        <v>41</v>
      </c>
      <c r="AJ159" t="str">
        <f t="shared" si="30"/>
        <v>Infantry Squad  #158</v>
      </c>
      <c r="AL159" s="10">
        <f t="shared" ca="1" si="31"/>
        <v>669</v>
      </c>
      <c r="AM159" s="10">
        <f t="shared" ca="1" si="32"/>
        <v>47.7669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0.5</v>
      </c>
      <c r="V160" s="20">
        <f t="shared" ca="1" si="26"/>
        <v>0.02</v>
      </c>
      <c r="W160" s="20">
        <f t="shared" ca="1" si="26"/>
        <v>0.61</v>
      </c>
      <c r="X160">
        <f t="shared" ca="1" si="22"/>
        <v>36.622770000000003</v>
      </c>
      <c r="Y160">
        <f t="shared" ca="1" si="23"/>
        <v>47.688969999999998</v>
      </c>
      <c r="Z160" s="19">
        <f t="shared" ca="1" si="27"/>
        <v>0.54</v>
      </c>
      <c r="AA160" s="19">
        <f t="shared" ca="1" si="27"/>
        <v>0.6</v>
      </c>
      <c r="AB160" s="19">
        <f t="shared" ca="1" si="27"/>
        <v>0.27</v>
      </c>
      <c r="AC160">
        <f t="shared" ca="1" si="24"/>
        <v>36.81127</v>
      </c>
      <c r="AD160">
        <f t="shared" ca="1" si="25"/>
        <v>47.671729999999997</v>
      </c>
      <c r="AE160">
        <f t="shared" ca="1" si="28"/>
        <v>3235</v>
      </c>
      <c r="AF160">
        <f t="shared" ca="1" si="29"/>
        <v>36.323500000000003</v>
      </c>
      <c r="AI160" s="10" t="s">
        <v>41</v>
      </c>
      <c r="AJ160" t="str">
        <f t="shared" si="30"/>
        <v>Infantry Squad  #159</v>
      </c>
      <c r="AL160" s="10">
        <f t="shared" ca="1" si="31"/>
        <v>658</v>
      </c>
      <c r="AM160" s="10">
        <f t="shared" ca="1" si="32"/>
        <v>47.765800000000006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0.39</v>
      </c>
      <c r="V161" s="20">
        <f t="shared" ca="1" si="26"/>
        <v>0.16</v>
      </c>
      <c r="W161" s="20">
        <f t="shared" ca="1" si="26"/>
        <v>0.64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36.611199999999997</v>
      </c>
      <c r="Y161">
        <f t="shared" ref="Y161:Y213" ca="1" si="34">ROUND(IF(U161&lt;$T$9,(1-SQRT(V161))*$S$3+SQRT(V161)*(1-W161)*$S$4+SQRT(V161)*W161*$S$5,(1-SQRT(V161))*$S$3+SQRT(V161)*(1-W161)*$S$5+SQRT(V161)*W161*$S$6)/100,5)</f>
        <v>47.634399999999999</v>
      </c>
      <c r="Z161" s="19">
        <f t="shared" ca="1" si="27"/>
        <v>0.76</v>
      </c>
      <c r="AA161" s="19">
        <f t="shared" ca="1" si="27"/>
        <v>0.23</v>
      </c>
      <c r="AB161" s="19">
        <f t="shared" ca="1" si="27"/>
        <v>0.19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36.82602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47.680579999999999</v>
      </c>
      <c r="AE161">
        <f t="shared" ca="1" si="28"/>
        <v>7020</v>
      </c>
      <c r="AF161">
        <f t="shared" ca="1" si="29"/>
        <v>36.701999999999998</v>
      </c>
      <c r="AI161" s="10" t="s">
        <v>41</v>
      </c>
      <c r="AJ161" t="str">
        <f t="shared" si="30"/>
        <v>Infantry Squad  #160</v>
      </c>
      <c r="AL161" s="10">
        <f t="shared" ca="1" si="31"/>
        <v>595</v>
      </c>
      <c r="AM161" s="10">
        <f t="shared" ca="1" si="32"/>
        <v>47.759500000000003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0.42</v>
      </c>
      <c r="V162" s="20">
        <f t="shared" ca="1" si="37"/>
        <v>0.16</v>
      </c>
      <c r="W162" s="20">
        <f t="shared" ca="1" si="37"/>
        <v>0.77</v>
      </c>
      <c r="X162">
        <f t="shared" ca="1" si="33"/>
        <v>36.621600000000001</v>
      </c>
      <c r="Y162">
        <f t="shared" ca="1" si="34"/>
        <v>47.629199999999997</v>
      </c>
      <c r="Z162" s="19">
        <f t="shared" ref="Z162:AB213" ca="1" si="38">RANDBETWEEN(0,100)/100</f>
        <v>0.28000000000000003</v>
      </c>
      <c r="AA162" s="19">
        <f t="shared" ca="1" si="38"/>
        <v>0.26</v>
      </c>
      <c r="AB162" s="19">
        <f t="shared" ca="1" si="38"/>
        <v>0.2</v>
      </c>
      <c r="AC162">
        <f t="shared" ca="1" si="35"/>
        <v>36.844900000000003</v>
      </c>
      <c r="AD162">
        <f t="shared" ca="1" si="36"/>
        <v>47.674500000000002</v>
      </c>
      <c r="AE162">
        <f t="shared" ca="1" si="28"/>
        <v>3916</v>
      </c>
      <c r="AF162">
        <f t="shared" ca="1" si="29"/>
        <v>36.391599999999997</v>
      </c>
      <c r="AI162" s="10" t="s">
        <v>37</v>
      </c>
      <c r="AJ162" t="str">
        <f t="shared" si="30"/>
        <v>T-72B3 Tank  #161</v>
      </c>
      <c r="AL162" s="10">
        <f t="shared" ca="1" si="31"/>
        <v>490</v>
      </c>
      <c r="AM162" s="10">
        <f t="shared" ca="1" si="32"/>
        <v>47.749000000000002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0.36</v>
      </c>
      <c r="V163" s="20">
        <f t="shared" ca="1" si="37"/>
        <v>0.4</v>
      </c>
      <c r="W163" s="20">
        <f t="shared" ca="1" si="37"/>
        <v>0.42</v>
      </c>
      <c r="X163">
        <f t="shared" ca="1" si="33"/>
        <v>36.589880000000001</v>
      </c>
      <c r="Y163">
        <f t="shared" ca="1" si="34"/>
        <v>47.610190000000003</v>
      </c>
      <c r="Z163" s="19">
        <f t="shared" ca="1" si="38"/>
        <v>0.21</v>
      </c>
      <c r="AA163" s="19">
        <f t="shared" ca="1" si="38"/>
        <v>0.37</v>
      </c>
      <c r="AB163" s="19">
        <f t="shared" ca="1" si="38"/>
        <v>0.41</v>
      </c>
      <c r="AC163">
        <f t="shared" ca="1" si="35"/>
        <v>36.837530000000001</v>
      </c>
      <c r="AD163">
        <f t="shared" ca="1" si="36"/>
        <v>47.669589999999999</v>
      </c>
      <c r="AE163">
        <f t="shared" ca="1" si="28"/>
        <v>3349</v>
      </c>
      <c r="AF163">
        <f t="shared" ca="1" si="29"/>
        <v>36.334899999999998</v>
      </c>
      <c r="AI163" s="10" t="s">
        <v>37</v>
      </c>
      <c r="AJ163" t="str">
        <f t="shared" si="30"/>
        <v>T-72B3 Tank  #162</v>
      </c>
      <c r="AL163" s="10">
        <f t="shared" ca="1" si="31"/>
        <v>684</v>
      </c>
      <c r="AM163" s="10">
        <f t="shared" ca="1" si="32"/>
        <v>47.7684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0.32</v>
      </c>
      <c r="V164" s="20">
        <f t="shared" ca="1" si="37"/>
        <v>0.51</v>
      </c>
      <c r="W164" s="20">
        <f t="shared" ca="1" si="37"/>
        <v>0.87</v>
      </c>
      <c r="X164">
        <f t="shared" ca="1" si="33"/>
        <v>36.652850000000001</v>
      </c>
      <c r="Y164">
        <f t="shared" ca="1" si="34"/>
        <v>47.566459999999999</v>
      </c>
      <c r="Z164" s="19">
        <f t="shared" ca="1" si="38"/>
        <v>0.88</v>
      </c>
      <c r="AA164" s="19">
        <f t="shared" ca="1" si="38"/>
        <v>0.59</v>
      </c>
      <c r="AB164" s="19">
        <f t="shared" ca="1" si="38"/>
        <v>7.0000000000000007E-2</v>
      </c>
      <c r="AC164">
        <f t="shared" ca="1" si="35"/>
        <v>36.811590000000002</v>
      </c>
      <c r="AD164">
        <f t="shared" ca="1" si="36"/>
        <v>47.664279999999998</v>
      </c>
      <c r="AE164">
        <f t="shared" ca="1" si="28"/>
        <v>8490</v>
      </c>
      <c r="AF164">
        <f t="shared" ca="1" si="29"/>
        <v>36.848999999999997</v>
      </c>
      <c r="AI164" s="10" t="s">
        <v>38</v>
      </c>
      <c r="AJ164" t="str">
        <f t="shared" si="30"/>
        <v>T-80BVM Tank  #163</v>
      </c>
      <c r="AL164" s="10">
        <f t="shared" ca="1" si="31"/>
        <v>496</v>
      </c>
      <c r="AM164" s="10">
        <f t="shared" ca="1" si="32"/>
        <v>47.749600000000001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0.85</v>
      </c>
      <c r="V165" s="20">
        <f t="shared" ca="1" si="37"/>
        <v>0.47</v>
      </c>
      <c r="W165" s="20">
        <f t="shared" ca="1" si="37"/>
        <v>0.53</v>
      </c>
      <c r="X165">
        <f t="shared" ca="1" si="33"/>
        <v>36.704889999999999</v>
      </c>
      <c r="Y165">
        <f t="shared" ca="1" si="34"/>
        <v>47.635559999999998</v>
      </c>
      <c r="Z165" s="19">
        <f t="shared" ca="1" si="38"/>
        <v>0.25</v>
      </c>
      <c r="AA165" s="19">
        <f t="shared" ca="1" si="38"/>
        <v>0.5</v>
      </c>
      <c r="AB165" s="19">
        <f t="shared" ca="1" si="38"/>
        <v>0.34</v>
      </c>
      <c r="AC165">
        <f t="shared" ca="1" si="35"/>
        <v>36.837980000000002</v>
      </c>
      <c r="AD165">
        <f t="shared" ca="1" si="36"/>
        <v>47.664639999999999</v>
      </c>
      <c r="AE165">
        <f t="shared" ca="1" si="28"/>
        <v>4137</v>
      </c>
      <c r="AF165">
        <f t="shared" ca="1" si="29"/>
        <v>36.413699999999999</v>
      </c>
      <c r="AI165" s="10" t="s">
        <v>37</v>
      </c>
      <c r="AJ165" t="str">
        <f t="shared" si="30"/>
        <v>T-72B3 Tank  #164</v>
      </c>
      <c r="AL165" s="10">
        <f t="shared" ca="1" si="31"/>
        <v>381</v>
      </c>
      <c r="AM165" s="10">
        <f t="shared" ca="1" si="32"/>
        <v>47.738100000000003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0.28999999999999998</v>
      </c>
      <c r="V166" s="20">
        <f t="shared" ca="1" si="37"/>
        <v>0.76</v>
      </c>
      <c r="W166" s="20">
        <f t="shared" ca="1" si="37"/>
        <v>0</v>
      </c>
      <c r="X166">
        <f t="shared" ca="1" si="33"/>
        <v>36.512819999999998</v>
      </c>
      <c r="Y166">
        <f t="shared" ca="1" si="34"/>
        <v>47.612819999999999</v>
      </c>
      <c r="Z166" s="19">
        <f t="shared" ca="1" si="38"/>
        <v>0.71</v>
      </c>
      <c r="AA166" s="19">
        <f t="shared" ca="1" si="38"/>
        <v>0.27</v>
      </c>
      <c r="AB166" s="19">
        <f t="shared" ca="1" si="38"/>
        <v>0.69</v>
      </c>
      <c r="AC166">
        <f t="shared" ca="1" si="35"/>
        <v>36.824019999999997</v>
      </c>
      <c r="AD166">
        <f t="shared" ca="1" si="36"/>
        <v>47.691949999999999</v>
      </c>
      <c r="AE166">
        <f t="shared" ca="1" si="28"/>
        <v>8562</v>
      </c>
      <c r="AF166">
        <f t="shared" ca="1" si="29"/>
        <v>36.856200000000001</v>
      </c>
      <c r="AI166" s="10" t="s">
        <v>38</v>
      </c>
      <c r="AJ166" t="str">
        <f t="shared" si="30"/>
        <v>T-80BVM Tank  #165</v>
      </c>
      <c r="AL166" s="10">
        <f t="shared" ca="1" si="31"/>
        <v>161</v>
      </c>
      <c r="AM166" s="10">
        <f t="shared" ca="1" si="32"/>
        <v>47.716100000000004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0.97</v>
      </c>
      <c r="V167" s="20">
        <f t="shared" ca="1" si="37"/>
        <v>0.49</v>
      </c>
      <c r="W167" s="20">
        <f t="shared" ca="1" si="37"/>
        <v>0.64</v>
      </c>
      <c r="X167">
        <f t="shared" ca="1" si="33"/>
        <v>36.714799999999997</v>
      </c>
      <c r="Y167">
        <f t="shared" ca="1" si="34"/>
        <v>47.6496</v>
      </c>
      <c r="Z167" s="19">
        <f t="shared" ca="1" si="38"/>
        <v>0.77</v>
      </c>
      <c r="AA167" s="19">
        <f t="shared" ca="1" si="38"/>
        <v>0.82</v>
      </c>
      <c r="AB167" s="19">
        <f t="shared" ca="1" si="38"/>
        <v>0.31</v>
      </c>
      <c r="AC167">
        <f t="shared" ca="1" si="35"/>
        <v>36.804720000000003</v>
      </c>
      <c r="AD167">
        <f t="shared" ca="1" si="36"/>
        <v>47.668759999999999</v>
      </c>
      <c r="AE167">
        <f t="shared" ca="1" si="28"/>
        <v>1014</v>
      </c>
      <c r="AF167">
        <f t="shared" ca="1" si="29"/>
        <v>36.101399999999998</v>
      </c>
      <c r="AI167" s="10" t="s">
        <v>39</v>
      </c>
      <c r="AJ167" t="str">
        <f t="shared" si="30"/>
        <v>BMP-2  #166</v>
      </c>
      <c r="AL167" s="10">
        <f t="shared" ca="1" si="31"/>
        <v>750</v>
      </c>
      <c r="AM167" s="10">
        <f t="shared" ca="1" si="32"/>
        <v>47.775000000000006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0.84</v>
      </c>
      <c r="V168" s="20">
        <f t="shared" ca="1" si="37"/>
        <v>0.56999999999999995</v>
      </c>
      <c r="W168" s="20">
        <f t="shared" ca="1" si="37"/>
        <v>0.41</v>
      </c>
      <c r="X168">
        <f t="shared" ca="1" si="33"/>
        <v>36.706449999999997</v>
      </c>
      <c r="Y168">
        <f t="shared" ca="1" si="34"/>
        <v>47.610909999999997</v>
      </c>
      <c r="Z168" s="19">
        <f t="shared" ca="1" si="38"/>
        <v>0.28999999999999998</v>
      </c>
      <c r="AA168" s="19">
        <f t="shared" ca="1" si="38"/>
        <v>7.0000000000000007E-2</v>
      </c>
      <c r="AB168" s="19">
        <f t="shared" ca="1" si="38"/>
        <v>0.83</v>
      </c>
      <c r="AC168">
        <f t="shared" ca="1" si="35"/>
        <v>36.839019999999998</v>
      </c>
      <c r="AD168">
        <f t="shared" ca="1" si="36"/>
        <v>47.686770000000003</v>
      </c>
      <c r="AE168">
        <f t="shared" ca="1" si="28"/>
        <v>1267</v>
      </c>
      <c r="AF168">
        <f t="shared" ca="1" si="29"/>
        <v>36.1267</v>
      </c>
      <c r="AI168" s="10" t="s">
        <v>39</v>
      </c>
      <c r="AJ168" t="str">
        <f t="shared" si="30"/>
        <v>BMP-2  #167</v>
      </c>
      <c r="AL168" s="10">
        <f t="shared" ca="1" si="31"/>
        <v>647</v>
      </c>
      <c r="AM168" s="10">
        <f t="shared" ca="1" si="32"/>
        <v>47.764700000000005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0.82</v>
      </c>
      <c r="V169" s="20">
        <f t="shared" ca="1" si="37"/>
        <v>0.89</v>
      </c>
      <c r="W169" s="20">
        <f t="shared" ca="1" si="37"/>
        <v>0.11</v>
      </c>
      <c r="X169">
        <f t="shared" ca="1" si="33"/>
        <v>36.704720000000002</v>
      </c>
      <c r="Y169">
        <f t="shared" ca="1" si="34"/>
        <v>47.532080000000001</v>
      </c>
      <c r="Z169" s="19">
        <f t="shared" ca="1" si="38"/>
        <v>0.65</v>
      </c>
      <c r="AA169" s="19">
        <f t="shared" ca="1" si="38"/>
        <v>0.56999999999999995</v>
      </c>
      <c r="AB169" s="19">
        <f t="shared" ca="1" si="38"/>
        <v>0.47</v>
      </c>
      <c r="AC169">
        <f t="shared" ca="1" si="35"/>
        <v>36.812249999999999</v>
      </c>
      <c r="AD169">
        <f t="shared" ca="1" si="36"/>
        <v>47.679989999999997</v>
      </c>
      <c r="AE169">
        <f t="shared" ca="1" si="28"/>
        <v>6266</v>
      </c>
      <c r="AF169">
        <f t="shared" ca="1" si="29"/>
        <v>36.626600000000003</v>
      </c>
      <c r="AI169" s="10" t="s">
        <v>40</v>
      </c>
      <c r="AJ169" t="str">
        <f t="shared" si="30"/>
        <v>BTR-80  #168</v>
      </c>
      <c r="AL169" s="10">
        <f t="shared" ca="1" si="31"/>
        <v>655</v>
      </c>
      <c r="AM169" s="10">
        <f t="shared" ca="1" si="32"/>
        <v>47.765500000000003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0.47</v>
      </c>
      <c r="V170" s="20">
        <f t="shared" ca="1" si="37"/>
        <v>0.79</v>
      </c>
      <c r="W170" s="20">
        <f t="shared" ca="1" si="37"/>
        <v>0.03</v>
      </c>
      <c r="X170">
        <f t="shared" ca="1" si="33"/>
        <v>36.691549999999999</v>
      </c>
      <c r="Y170">
        <f t="shared" ca="1" si="34"/>
        <v>47.527569999999997</v>
      </c>
      <c r="Z170" s="19">
        <f t="shared" ca="1" si="38"/>
        <v>0.13</v>
      </c>
      <c r="AA170" s="19">
        <f t="shared" ca="1" si="38"/>
        <v>0.71</v>
      </c>
      <c r="AB170" s="19">
        <f t="shared" ca="1" si="38"/>
        <v>0.05</v>
      </c>
      <c r="AC170">
        <f t="shared" ca="1" si="35"/>
        <v>36.84789</v>
      </c>
      <c r="AD170">
        <f t="shared" ca="1" si="36"/>
        <v>47.657870000000003</v>
      </c>
      <c r="AE170">
        <f t="shared" ca="1" si="28"/>
        <v>3544</v>
      </c>
      <c r="AF170">
        <f t="shared" ca="1" si="29"/>
        <v>36.354399999999998</v>
      </c>
      <c r="AI170" s="10" t="s">
        <v>39</v>
      </c>
      <c r="AJ170" t="str">
        <f t="shared" si="30"/>
        <v>BMP-2  #169</v>
      </c>
      <c r="AL170" s="10">
        <f t="shared" ca="1" si="31"/>
        <v>34</v>
      </c>
      <c r="AM170" s="10">
        <f t="shared" ca="1" si="32"/>
        <v>47.703400000000002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0.79</v>
      </c>
      <c r="V171" s="20">
        <f t="shared" ca="1" si="37"/>
        <v>0.04</v>
      </c>
      <c r="W171" s="20">
        <f t="shared" ca="1" si="37"/>
        <v>0.16</v>
      </c>
      <c r="X171">
        <f t="shared" ca="1" si="33"/>
        <v>36.623199999999997</v>
      </c>
      <c r="Y171">
        <f t="shared" ca="1" si="34"/>
        <v>47.666400000000003</v>
      </c>
      <c r="Z171" s="19">
        <f t="shared" ca="1" si="38"/>
        <v>0.66</v>
      </c>
      <c r="AA171" s="19">
        <f t="shared" ca="1" si="38"/>
        <v>0.05</v>
      </c>
      <c r="AB171" s="19">
        <f t="shared" ca="1" si="38"/>
        <v>0.33</v>
      </c>
      <c r="AC171">
        <f t="shared" ca="1" si="35"/>
        <v>36.838819999999998</v>
      </c>
      <c r="AD171">
        <f t="shared" ca="1" si="36"/>
        <v>47.692509999999999</v>
      </c>
      <c r="AE171">
        <f t="shared" ca="1" si="28"/>
        <v>1342</v>
      </c>
      <c r="AF171">
        <f t="shared" ca="1" si="29"/>
        <v>36.1342</v>
      </c>
      <c r="AI171" s="10" t="s">
        <v>39</v>
      </c>
      <c r="AJ171" t="str">
        <f t="shared" si="30"/>
        <v>BMP-2  #170</v>
      </c>
      <c r="AL171" s="10">
        <f t="shared" ca="1" si="31"/>
        <v>783</v>
      </c>
      <c r="AM171" s="10">
        <f t="shared" ca="1" si="32"/>
        <v>47.778300000000002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0.42</v>
      </c>
      <c r="V172" s="20">
        <f t="shared" ca="1" si="37"/>
        <v>0.74</v>
      </c>
      <c r="W172" s="20">
        <f t="shared" ca="1" si="37"/>
        <v>0.7</v>
      </c>
      <c r="X172">
        <f t="shared" ca="1" si="33"/>
        <v>36.634410000000003</v>
      </c>
      <c r="Y172">
        <f t="shared" ca="1" si="34"/>
        <v>47.553759999999997</v>
      </c>
      <c r="Z172" s="19">
        <f t="shared" ca="1" si="38"/>
        <v>0.89</v>
      </c>
      <c r="AA172" s="19">
        <f t="shared" ca="1" si="38"/>
        <v>0.22</v>
      </c>
      <c r="AB172" s="19">
        <f t="shared" ca="1" si="38"/>
        <v>0.19</v>
      </c>
      <c r="AC172">
        <f t="shared" ca="1" si="35"/>
        <v>36.826549999999997</v>
      </c>
      <c r="AD172">
        <f t="shared" ca="1" si="36"/>
        <v>47.680999999999997</v>
      </c>
      <c r="AE172">
        <f t="shared" ca="1" si="28"/>
        <v>8439</v>
      </c>
      <c r="AF172">
        <f t="shared" ca="1" si="29"/>
        <v>36.843899999999998</v>
      </c>
      <c r="AI172" s="10" t="s">
        <v>40</v>
      </c>
      <c r="AJ172" t="str">
        <f t="shared" si="30"/>
        <v>BTR-80  #171</v>
      </c>
      <c r="AL172" s="10">
        <f t="shared" ca="1" si="31"/>
        <v>119</v>
      </c>
      <c r="AM172" s="10">
        <f t="shared" ca="1" si="32"/>
        <v>47.7119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0.32</v>
      </c>
      <c r="V173" s="20">
        <f t="shared" ca="1" si="37"/>
        <v>0.53</v>
      </c>
      <c r="W173" s="20">
        <f t="shared" ca="1" si="37"/>
        <v>0.21</v>
      </c>
      <c r="X173">
        <f t="shared" ca="1" si="33"/>
        <v>36.557780000000001</v>
      </c>
      <c r="Y173">
        <f t="shared" ca="1" si="34"/>
        <v>47.611910000000002</v>
      </c>
      <c r="Z173" s="19">
        <f t="shared" ca="1" si="38"/>
        <v>0.46</v>
      </c>
      <c r="AA173" s="19">
        <f t="shared" ca="1" si="38"/>
        <v>0.63</v>
      </c>
      <c r="AB173" s="19">
        <f t="shared" ca="1" si="38"/>
        <v>0.11</v>
      </c>
      <c r="AC173">
        <f t="shared" ca="1" si="35"/>
        <v>36.84563</v>
      </c>
      <c r="AD173">
        <f t="shared" ca="1" si="36"/>
        <v>47.660310000000003</v>
      </c>
      <c r="AE173">
        <f t="shared" ca="1" si="28"/>
        <v>50</v>
      </c>
      <c r="AF173">
        <f t="shared" ca="1" si="29"/>
        <v>36.005000000000003</v>
      </c>
      <c r="AI173" s="10" t="s">
        <v>39</v>
      </c>
      <c r="AJ173" t="str">
        <f t="shared" si="30"/>
        <v>BMP-2  #172</v>
      </c>
      <c r="AL173" s="10">
        <f t="shared" ca="1" si="31"/>
        <v>383</v>
      </c>
      <c r="AM173" s="10">
        <f t="shared" ca="1" si="32"/>
        <v>47.738300000000002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0.01</v>
      </c>
      <c r="V174" s="20">
        <f t="shared" ca="1" si="37"/>
        <v>0.93</v>
      </c>
      <c r="W174" s="20">
        <f t="shared" ca="1" si="37"/>
        <v>0.79</v>
      </c>
      <c r="X174">
        <f t="shared" ca="1" si="33"/>
        <v>36.655929999999998</v>
      </c>
      <c r="Y174">
        <f t="shared" ca="1" si="34"/>
        <v>47.527380000000001</v>
      </c>
      <c r="Z174" s="19">
        <f t="shared" ca="1" si="38"/>
        <v>0.34</v>
      </c>
      <c r="AA174" s="19">
        <f t="shared" ca="1" si="38"/>
        <v>0.87</v>
      </c>
      <c r="AB174" s="19">
        <f t="shared" ca="1" si="38"/>
        <v>0.96</v>
      </c>
      <c r="AC174">
        <f t="shared" ca="1" si="35"/>
        <v>36.805230000000002</v>
      </c>
      <c r="AD174">
        <f t="shared" ca="1" si="36"/>
        <v>47.653359999999999</v>
      </c>
      <c r="AE174">
        <f t="shared" ca="1" si="28"/>
        <v>8202</v>
      </c>
      <c r="AF174">
        <f t="shared" ca="1" si="29"/>
        <v>36.8202</v>
      </c>
      <c r="AI174" s="10" t="s">
        <v>39</v>
      </c>
      <c r="AJ174" t="str">
        <f t="shared" si="30"/>
        <v>BMP-2  #173</v>
      </c>
      <c r="AL174" s="10">
        <f t="shared" ca="1" si="31"/>
        <v>763</v>
      </c>
      <c r="AM174" s="10">
        <f t="shared" ca="1" si="32"/>
        <v>47.776300000000006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0.11</v>
      </c>
      <c r="V175" s="20">
        <f t="shared" ca="1" si="37"/>
        <v>0.76</v>
      </c>
      <c r="W175" s="20">
        <f t="shared" ca="1" si="37"/>
        <v>0.88</v>
      </c>
      <c r="X175">
        <f t="shared" ca="1" si="33"/>
        <v>36.666260000000001</v>
      </c>
      <c r="Y175">
        <f t="shared" ca="1" si="34"/>
        <v>47.536110000000001</v>
      </c>
      <c r="Z175" s="19">
        <f t="shared" ca="1" si="38"/>
        <v>0.65</v>
      </c>
      <c r="AA175" s="19">
        <f t="shared" ca="1" si="38"/>
        <v>0.15</v>
      </c>
      <c r="AB175" s="19">
        <f t="shared" ca="1" si="38"/>
        <v>0.87</v>
      </c>
      <c r="AC175">
        <f t="shared" ca="1" si="35"/>
        <v>36.830640000000002</v>
      </c>
      <c r="AD175">
        <f t="shared" ca="1" si="36"/>
        <v>47.697479999999999</v>
      </c>
      <c r="AE175">
        <f t="shared" ca="1" si="28"/>
        <v>4252</v>
      </c>
      <c r="AF175">
        <f t="shared" ca="1" si="29"/>
        <v>36.425199999999997</v>
      </c>
      <c r="AI175" s="10" t="s">
        <v>40</v>
      </c>
      <c r="AJ175" t="str">
        <f t="shared" si="30"/>
        <v>BTR-80  #174</v>
      </c>
      <c r="AL175" s="10">
        <f t="shared" ca="1" si="31"/>
        <v>296</v>
      </c>
      <c r="AM175" s="10">
        <f t="shared" ca="1" si="32"/>
        <v>47.729600000000005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0.13</v>
      </c>
      <c r="V176" s="20">
        <f t="shared" ca="1" si="37"/>
        <v>0.85</v>
      </c>
      <c r="W176" s="20">
        <f t="shared" ca="1" si="37"/>
        <v>0.17</v>
      </c>
      <c r="X176">
        <f t="shared" ca="1" si="33"/>
        <v>36.539149999999999</v>
      </c>
      <c r="Y176">
        <f t="shared" ca="1" si="34"/>
        <v>47.592129999999997</v>
      </c>
      <c r="Z176" s="19">
        <f t="shared" ca="1" si="38"/>
        <v>0.27</v>
      </c>
      <c r="AA176" s="19">
        <f t="shared" ca="1" si="38"/>
        <v>0.17</v>
      </c>
      <c r="AB176" s="19">
        <f t="shared" ca="1" si="38"/>
        <v>0.01</v>
      </c>
      <c r="AC176">
        <f t="shared" ca="1" si="35"/>
        <v>36.849789999999999</v>
      </c>
      <c r="AD176">
        <f t="shared" ca="1" si="36"/>
        <v>47.679380000000002</v>
      </c>
      <c r="AE176">
        <f t="shared" ca="1" si="28"/>
        <v>559</v>
      </c>
      <c r="AF176">
        <f t="shared" ca="1" si="29"/>
        <v>36.055900000000001</v>
      </c>
      <c r="AI176" s="10" t="s">
        <v>39</v>
      </c>
      <c r="AJ176" t="str">
        <f t="shared" si="30"/>
        <v>BMP-2  #175</v>
      </c>
      <c r="AL176" s="10">
        <f t="shared" ca="1" si="31"/>
        <v>845</v>
      </c>
      <c r="AM176" s="10">
        <f t="shared" ca="1" si="32"/>
        <v>47.784500000000001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0.61</v>
      </c>
      <c r="V177" s="20">
        <f t="shared" ca="1" si="37"/>
        <v>0.56999999999999995</v>
      </c>
      <c r="W177" s="20">
        <f t="shared" ca="1" si="37"/>
        <v>0.61</v>
      </c>
      <c r="X177">
        <f t="shared" ca="1" si="33"/>
        <v>36.721550000000001</v>
      </c>
      <c r="Y177">
        <f t="shared" ca="1" si="34"/>
        <v>47.641109999999998</v>
      </c>
      <c r="Z177" s="19">
        <f t="shared" ca="1" si="38"/>
        <v>0.98</v>
      </c>
      <c r="AA177" s="19">
        <f t="shared" ca="1" si="38"/>
        <v>0.11</v>
      </c>
      <c r="AB177" s="19">
        <f t="shared" ca="1" si="38"/>
        <v>0.04</v>
      </c>
      <c r="AC177">
        <f t="shared" ca="1" si="35"/>
        <v>36.833419999999997</v>
      </c>
      <c r="AD177">
        <f t="shared" ca="1" si="36"/>
        <v>47.684080000000002</v>
      </c>
      <c r="AE177">
        <f t="shared" ca="1" si="28"/>
        <v>5656</v>
      </c>
      <c r="AF177">
        <f t="shared" ca="1" si="29"/>
        <v>36.565600000000003</v>
      </c>
      <c r="AI177" s="10" t="s">
        <v>39</v>
      </c>
      <c r="AJ177" t="str">
        <f t="shared" si="30"/>
        <v>BMP-2  #176</v>
      </c>
      <c r="AL177" s="10">
        <f t="shared" ca="1" si="31"/>
        <v>126</v>
      </c>
      <c r="AM177" s="10">
        <f t="shared" ca="1" si="32"/>
        <v>47.712600000000002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0.42</v>
      </c>
      <c r="V178" s="20">
        <f t="shared" ca="1" si="37"/>
        <v>0.96</v>
      </c>
      <c r="W178" s="20">
        <f t="shared" ca="1" si="37"/>
        <v>0.3</v>
      </c>
      <c r="X178">
        <f t="shared" ca="1" si="33"/>
        <v>36.560809999999996</v>
      </c>
      <c r="Y178">
        <f t="shared" ca="1" si="34"/>
        <v>47.572629999999997</v>
      </c>
      <c r="Z178" s="19">
        <f t="shared" ca="1" si="38"/>
        <v>0.89</v>
      </c>
      <c r="AA178" s="19">
        <f t="shared" ca="1" si="38"/>
        <v>0.11</v>
      </c>
      <c r="AB178" s="19">
        <f t="shared" ca="1" si="38"/>
        <v>0.79</v>
      </c>
      <c r="AC178">
        <f t="shared" ca="1" si="35"/>
        <v>36.833419999999997</v>
      </c>
      <c r="AD178">
        <f t="shared" ca="1" si="36"/>
        <v>47.69652</v>
      </c>
      <c r="AE178">
        <f t="shared" ca="1" si="28"/>
        <v>1031</v>
      </c>
      <c r="AF178">
        <f t="shared" ca="1" si="29"/>
        <v>36.103099999999998</v>
      </c>
      <c r="AI178" s="10" t="s">
        <v>40</v>
      </c>
      <c r="AJ178" t="str">
        <f t="shared" si="30"/>
        <v>BTR-80  #177</v>
      </c>
      <c r="AL178" s="10">
        <f t="shared" ca="1" si="31"/>
        <v>485</v>
      </c>
      <c r="AM178" s="10">
        <f t="shared" ca="1" si="32"/>
        <v>47.7485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0.84</v>
      </c>
      <c r="V179" s="20">
        <f t="shared" ca="1" si="37"/>
        <v>0.22</v>
      </c>
      <c r="W179" s="20">
        <f t="shared" ca="1" si="37"/>
        <v>0.85</v>
      </c>
      <c r="X179">
        <f t="shared" ca="1" si="33"/>
        <v>36.686770000000003</v>
      </c>
      <c r="Y179">
        <f t="shared" ca="1" si="34"/>
        <v>47.685929999999999</v>
      </c>
      <c r="Z179" s="19">
        <f t="shared" ca="1" si="38"/>
        <v>0.28000000000000003</v>
      </c>
      <c r="AA179" s="19">
        <f t="shared" ca="1" si="38"/>
        <v>0.2</v>
      </c>
      <c r="AB179" s="19">
        <f t="shared" ca="1" si="38"/>
        <v>0.27</v>
      </c>
      <c r="AC179">
        <f t="shared" ca="1" si="35"/>
        <v>36.843960000000003</v>
      </c>
      <c r="AD179">
        <f t="shared" ca="1" si="36"/>
        <v>47.677639999999997</v>
      </c>
      <c r="AE179">
        <f t="shared" ca="1" si="28"/>
        <v>6570</v>
      </c>
      <c r="AF179">
        <f t="shared" ca="1" si="29"/>
        <v>36.656999999999996</v>
      </c>
      <c r="AI179" s="10" t="s">
        <v>41</v>
      </c>
      <c r="AJ179" t="str">
        <f t="shared" si="30"/>
        <v>Infantry Squad  #178</v>
      </c>
      <c r="AL179" s="10">
        <f t="shared" ca="1" si="31"/>
        <v>740</v>
      </c>
      <c r="AM179" s="10">
        <f t="shared" ca="1" si="32"/>
        <v>47.774000000000001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0.69</v>
      </c>
      <c r="V180" s="20">
        <f t="shared" ca="1" si="37"/>
        <v>0.22</v>
      </c>
      <c r="W180" s="20">
        <f t="shared" ca="1" si="37"/>
        <v>0.19</v>
      </c>
      <c r="X180">
        <f t="shared" ca="1" si="33"/>
        <v>36.655819999999999</v>
      </c>
      <c r="Y180">
        <f t="shared" ca="1" si="34"/>
        <v>47.624020000000002</v>
      </c>
      <c r="Z180" s="19">
        <f t="shared" ca="1" si="38"/>
        <v>0.85</v>
      </c>
      <c r="AA180" s="19">
        <f t="shared" ca="1" si="38"/>
        <v>0.17</v>
      </c>
      <c r="AB180" s="19">
        <f t="shared" ca="1" si="38"/>
        <v>0.04</v>
      </c>
      <c r="AC180">
        <f t="shared" ca="1" si="35"/>
        <v>36.82938</v>
      </c>
      <c r="AD180">
        <f t="shared" ca="1" si="36"/>
        <v>47.680210000000002</v>
      </c>
      <c r="AE180">
        <f t="shared" ca="1" si="28"/>
        <v>9838</v>
      </c>
      <c r="AF180">
        <f t="shared" ca="1" si="29"/>
        <v>36.983800000000002</v>
      </c>
      <c r="AI180" s="10" t="s">
        <v>41</v>
      </c>
      <c r="AJ180" t="str">
        <f t="shared" si="30"/>
        <v>Infantry Squad  #179</v>
      </c>
      <c r="AL180" s="10">
        <f t="shared" ca="1" si="31"/>
        <v>92</v>
      </c>
      <c r="AM180" s="10">
        <f t="shared" ca="1" si="32"/>
        <v>47.709200000000003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0.75</v>
      </c>
      <c r="V181" s="20">
        <f t="shared" ca="1" si="37"/>
        <v>0.96</v>
      </c>
      <c r="W181" s="20">
        <f t="shared" ca="1" si="37"/>
        <v>0.42</v>
      </c>
      <c r="X181">
        <f t="shared" ca="1" si="33"/>
        <v>36.739130000000003</v>
      </c>
      <c r="Y181">
        <f t="shared" ca="1" si="34"/>
        <v>47.58634</v>
      </c>
      <c r="Z181" s="19">
        <f t="shared" ca="1" si="38"/>
        <v>0.18</v>
      </c>
      <c r="AA181" s="19">
        <f t="shared" ca="1" si="38"/>
        <v>0.57999999999999996</v>
      </c>
      <c r="AB181" s="19">
        <f t="shared" ca="1" si="38"/>
        <v>0.08</v>
      </c>
      <c r="AC181">
        <f t="shared" ca="1" si="35"/>
        <v>36.84695</v>
      </c>
      <c r="AD181">
        <f t="shared" ca="1" si="36"/>
        <v>47.661920000000002</v>
      </c>
      <c r="AE181">
        <f t="shared" ca="1" si="28"/>
        <v>3552</v>
      </c>
      <c r="AF181">
        <f t="shared" ca="1" si="29"/>
        <v>36.355200000000004</v>
      </c>
      <c r="AI181" s="10" t="s">
        <v>41</v>
      </c>
      <c r="AJ181" t="str">
        <f t="shared" si="30"/>
        <v>Infantry Squad  #180</v>
      </c>
      <c r="AL181" s="10">
        <f t="shared" ca="1" si="31"/>
        <v>974</v>
      </c>
      <c r="AM181" s="10">
        <f t="shared" ca="1" si="32"/>
        <v>47.797400000000003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0.21</v>
      </c>
      <c r="V182" s="20">
        <f t="shared" ca="1" si="37"/>
        <v>0.47</v>
      </c>
      <c r="W182" s="20">
        <f t="shared" ca="1" si="37"/>
        <v>0.25</v>
      </c>
      <c r="X182">
        <f t="shared" ca="1" si="33"/>
        <v>36.565719999999999</v>
      </c>
      <c r="Y182">
        <f t="shared" ca="1" si="34"/>
        <v>47.6143</v>
      </c>
      <c r="Z182" s="19">
        <f t="shared" ca="1" si="38"/>
        <v>0.72</v>
      </c>
      <c r="AA182" s="19">
        <f t="shared" ca="1" si="38"/>
        <v>0.21</v>
      </c>
      <c r="AB182" s="19">
        <f t="shared" ca="1" si="38"/>
        <v>0.34</v>
      </c>
      <c r="AC182">
        <f t="shared" ca="1" si="35"/>
        <v>36.827089999999998</v>
      </c>
      <c r="AD182">
        <f t="shared" ca="1" si="36"/>
        <v>47.68488</v>
      </c>
      <c r="AE182">
        <f t="shared" ca="1" si="28"/>
        <v>2222</v>
      </c>
      <c r="AF182">
        <f t="shared" ca="1" si="29"/>
        <v>36.222200000000001</v>
      </c>
      <c r="AI182" s="10" t="s">
        <v>37</v>
      </c>
      <c r="AJ182" t="str">
        <f t="shared" si="30"/>
        <v>T-72B3 Tank  #181</v>
      </c>
      <c r="AL182" s="10">
        <f t="shared" ca="1" si="31"/>
        <v>971</v>
      </c>
      <c r="AM182" s="10">
        <f t="shared" ca="1" si="32"/>
        <v>47.7971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0.69</v>
      </c>
      <c r="V183" s="20">
        <f t="shared" ca="1" si="37"/>
        <v>0.88</v>
      </c>
      <c r="W183" s="20">
        <f t="shared" ca="1" si="37"/>
        <v>0.35</v>
      </c>
      <c r="X183">
        <f t="shared" ca="1" si="33"/>
        <v>36.726640000000003</v>
      </c>
      <c r="Y183">
        <f t="shared" ca="1" si="34"/>
        <v>47.578049999999998</v>
      </c>
      <c r="Z183" s="19">
        <f t="shared" ca="1" si="38"/>
        <v>0.83</v>
      </c>
      <c r="AA183" s="19">
        <f t="shared" ca="1" si="38"/>
        <v>0.62</v>
      </c>
      <c r="AB183" s="19">
        <f t="shared" ca="1" si="38"/>
        <v>0.38</v>
      </c>
      <c r="AC183">
        <f t="shared" ca="1" si="35"/>
        <v>36.810630000000003</v>
      </c>
      <c r="AD183">
        <f t="shared" ca="1" si="36"/>
        <v>47.67559</v>
      </c>
      <c r="AE183">
        <f t="shared" ca="1" si="28"/>
        <v>9694</v>
      </c>
      <c r="AF183">
        <f t="shared" ca="1" si="29"/>
        <v>36.9694</v>
      </c>
      <c r="AI183" s="10" t="s">
        <v>37</v>
      </c>
      <c r="AJ183" t="str">
        <f t="shared" si="30"/>
        <v>T-72B3 Tank  #182</v>
      </c>
      <c r="AL183" s="10">
        <f t="shared" ca="1" si="31"/>
        <v>35</v>
      </c>
      <c r="AM183" s="10">
        <f t="shared" ca="1" si="32"/>
        <v>47.703500000000005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0.36</v>
      </c>
      <c r="V184" s="20">
        <f t="shared" ca="1" si="37"/>
        <v>0.89</v>
      </c>
      <c r="W184" s="20">
        <f t="shared" ca="1" si="37"/>
        <v>0.83</v>
      </c>
      <c r="X184">
        <f t="shared" ca="1" si="33"/>
        <v>36.662260000000003</v>
      </c>
      <c r="Y184">
        <f t="shared" ca="1" si="34"/>
        <v>47.527360000000002</v>
      </c>
      <c r="Z184" s="19">
        <f t="shared" ca="1" si="38"/>
        <v>0.03</v>
      </c>
      <c r="AA184" s="19">
        <f t="shared" ca="1" si="38"/>
        <v>0.77</v>
      </c>
      <c r="AB184" s="19">
        <f t="shared" ca="1" si="38"/>
        <v>0.55000000000000004</v>
      </c>
      <c r="AC184">
        <f t="shared" ca="1" si="35"/>
        <v>36.825870000000002</v>
      </c>
      <c r="AD184">
        <f t="shared" ca="1" si="36"/>
        <v>47.656129999999997</v>
      </c>
      <c r="AE184">
        <f t="shared" ca="1" si="28"/>
        <v>2188</v>
      </c>
      <c r="AF184">
        <f t="shared" ca="1" si="29"/>
        <v>36.218800000000002</v>
      </c>
      <c r="AI184" s="10" t="s">
        <v>38</v>
      </c>
      <c r="AJ184" t="str">
        <f t="shared" si="30"/>
        <v>T-80BVM Tank  #183</v>
      </c>
      <c r="AL184" s="10">
        <f t="shared" ca="1" si="31"/>
        <v>624</v>
      </c>
      <c r="AM184" s="10">
        <f t="shared" ca="1" si="32"/>
        <v>47.7624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0.04</v>
      </c>
      <c r="V185" s="20">
        <f t="shared" ca="1" si="37"/>
        <v>0.69</v>
      </c>
      <c r="W185" s="20">
        <f t="shared" ca="1" si="37"/>
        <v>0.83</v>
      </c>
      <c r="X185">
        <f t="shared" ca="1" si="33"/>
        <v>36.654820000000001</v>
      </c>
      <c r="Y185">
        <f t="shared" ca="1" si="34"/>
        <v>47.547989999999999</v>
      </c>
      <c r="Z185" s="19">
        <f t="shared" ca="1" si="38"/>
        <v>0</v>
      </c>
      <c r="AA185" s="19">
        <f t="shared" ca="1" si="38"/>
        <v>0.24</v>
      </c>
      <c r="AB185" s="19">
        <f t="shared" ca="1" si="38"/>
        <v>0.56999999999999995</v>
      </c>
      <c r="AC185">
        <f t="shared" ca="1" si="35"/>
        <v>36.836039999999997</v>
      </c>
      <c r="AD185">
        <f t="shared" ca="1" si="36"/>
        <v>47.675510000000003</v>
      </c>
      <c r="AE185">
        <f t="shared" ca="1" si="28"/>
        <v>2358</v>
      </c>
      <c r="AF185">
        <f t="shared" ca="1" si="29"/>
        <v>36.235799999999998</v>
      </c>
      <c r="AI185" s="10" t="s">
        <v>37</v>
      </c>
      <c r="AJ185" t="str">
        <f t="shared" si="30"/>
        <v>T-72B3 Tank  #184</v>
      </c>
      <c r="AL185" s="10">
        <f t="shared" ca="1" si="31"/>
        <v>126</v>
      </c>
      <c r="AM185" s="10">
        <f t="shared" ca="1" si="32"/>
        <v>47.712600000000002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0.87</v>
      </c>
      <c r="V186" s="20">
        <f t="shared" ca="1" si="37"/>
        <v>0.61</v>
      </c>
      <c r="W186" s="20">
        <f t="shared" ca="1" si="37"/>
        <v>0.54</v>
      </c>
      <c r="X186">
        <f t="shared" ca="1" si="33"/>
        <v>36.720280000000002</v>
      </c>
      <c r="Y186">
        <f t="shared" ca="1" si="34"/>
        <v>47.628149999999998</v>
      </c>
      <c r="Z186" s="19">
        <f t="shared" ca="1" si="38"/>
        <v>0.79</v>
      </c>
      <c r="AA186" s="19">
        <f t="shared" ca="1" si="38"/>
        <v>0.1</v>
      </c>
      <c r="AB186" s="19">
        <f t="shared" ca="1" si="38"/>
        <v>0.8</v>
      </c>
      <c r="AC186">
        <f t="shared" ca="1" si="35"/>
        <v>36.83419</v>
      </c>
      <c r="AD186">
        <f t="shared" ca="1" si="36"/>
        <v>47.696840000000002</v>
      </c>
      <c r="AE186">
        <f t="shared" ca="1" si="28"/>
        <v>5443</v>
      </c>
      <c r="AF186">
        <f t="shared" ca="1" si="29"/>
        <v>36.5443</v>
      </c>
      <c r="AI186" s="10" t="s">
        <v>38</v>
      </c>
      <c r="AJ186" t="str">
        <f t="shared" si="30"/>
        <v>T-80BVM Tank  #185</v>
      </c>
      <c r="AL186" s="10">
        <f t="shared" ca="1" si="31"/>
        <v>671</v>
      </c>
      <c r="AM186" s="10">
        <f t="shared" ca="1" si="32"/>
        <v>47.767100000000006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0.78</v>
      </c>
      <c r="V187" s="20">
        <f t="shared" ca="1" si="37"/>
        <v>0.32</v>
      </c>
      <c r="W187" s="20">
        <f t="shared" ca="1" si="37"/>
        <v>0.79</v>
      </c>
      <c r="X187">
        <f t="shared" ca="1" si="33"/>
        <v>36.701259999999998</v>
      </c>
      <c r="Y187">
        <f t="shared" ca="1" si="34"/>
        <v>47.67624</v>
      </c>
      <c r="Z187" s="19">
        <f t="shared" ca="1" si="38"/>
        <v>0.84</v>
      </c>
      <c r="AA187" s="19">
        <f t="shared" ca="1" si="38"/>
        <v>0.67</v>
      </c>
      <c r="AB187" s="19">
        <f t="shared" ca="1" si="38"/>
        <v>0.71</v>
      </c>
      <c r="AC187">
        <f t="shared" ca="1" si="35"/>
        <v>36.809069999999998</v>
      </c>
      <c r="AD187">
        <f t="shared" ca="1" si="36"/>
        <v>47.688130000000001</v>
      </c>
      <c r="AE187">
        <f t="shared" ca="1" si="28"/>
        <v>3958</v>
      </c>
      <c r="AF187">
        <f t="shared" ca="1" si="29"/>
        <v>36.395800000000001</v>
      </c>
      <c r="AI187" s="10" t="s">
        <v>39</v>
      </c>
      <c r="AJ187" t="str">
        <f t="shared" si="30"/>
        <v>BMP-2  #186</v>
      </c>
      <c r="AL187" s="10">
        <f t="shared" ca="1" si="31"/>
        <v>858</v>
      </c>
      <c r="AM187" s="10">
        <f t="shared" ca="1" si="32"/>
        <v>47.785800000000002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0.9</v>
      </c>
      <c r="V188" s="20">
        <f t="shared" ca="1" si="37"/>
        <v>0.12</v>
      </c>
      <c r="W188" s="20">
        <f t="shared" ca="1" si="37"/>
        <v>0.38</v>
      </c>
      <c r="X188">
        <f t="shared" ca="1" si="33"/>
        <v>36.647799999999997</v>
      </c>
      <c r="Y188">
        <f t="shared" ca="1" si="34"/>
        <v>47.657049999999998</v>
      </c>
      <c r="Z188" s="19">
        <f t="shared" ca="1" si="38"/>
        <v>0.63</v>
      </c>
      <c r="AA188" s="19">
        <f t="shared" ca="1" si="38"/>
        <v>0.89</v>
      </c>
      <c r="AB188" s="19">
        <f t="shared" ca="1" si="38"/>
        <v>0.79</v>
      </c>
      <c r="AC188">
        <f t="shared" ca="1" si="35"/>
        <v>36.80283</v>
      </c>
      <c r="AD188">
        <f t="shared" ca="1" si="36"/>
        <v>47.690089999999998</v>
      </c>
      <c r="AE188">
        <f t="shared" ca="1" si="28"/>
        <v>1656</v>
      </c>
      <c r="AF188">
        <f t="shared" ca="1" si="29"/>
        <v>36.165599999999998</v>
      </c>
      <c r="AI188" s="10" t="s">
        <v>39</v>
      </c>
      <c r="AJ188" t="str">
        <f t="shared" si="30"/>
        <v>BMP-2  #187</v>
      </c>
      <c r="AL188" s="10">
        <f t="shared" ca="1" si="31"/>
        <v>549</v>
      </c>
      <c r="AM188" s="10">
        <f t="shared" ca="1" si="32"/>
        <v>47.754900000000006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0.97</v>
      </c>
      <c r="V189" s="20">
        <f t="shared" ca="1" si="37"/>
        <v>0.42</v>
      </c>
      <c r="W189" s="20">
        <f t="shared" ca="1" si="37"/>
        <v>0.93</v>
      </c>
      <c r="X189">
        <f t="shared" ca="1" si="33"/>
        <v>36.725079999999998</v>
      </c>
      <c r="Y189">
        <f t="shared" ca="1" si="34"/>
        <v>47.690930000000002</v>
      </c>
      <c r="Z189" s="19">
        <f t="shared" ca="1" si="38"/>
        <v>0.12</v>
      </c>
      <c r="AA189" s="19">
        <f t="shared" ca="1" si="38"/>
        <v>0.37</v>
      </c>
      <c r="AB189" s="19">
        <f t="shared" ca="1" si="38"/>
        <v>0.94</v>
      </c>
      <c r="AC189">
        <f t="shared" ca="1" si="35"/>
        <v>36.82141</v>
      </c>
      <c r="AD189">
        <f t="shared" ca="1" si="36"/>
        <v>47.669589999999999</v>
      </c>
      <c r="AE189">
        <f t="shared" ca="1" si="28"/>
        <v>5626</v>
      </c>
      <c r="AF189">
        <f t="shared" ca="1" si="29"/>
        <v>36.562600000000003</v>
      </c>
      <c r="AI189" s="10" t="s">
        <v>40</v>
      </c>
      <c r="AJ189" t="str">
        <f t="shared" si="30"/>
        <v>BTR-80  #188</v>
      </c>
      <c r="AL189" s="10">
        <f t="shared" ca="1" si="31"/>
        <v>894</v>
      </c>
      <c r="AM189" s="10">
        <f t="shared" ca="1" si="32"/>
        <v>47.789400000000001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0.84</v>
      </c>
      <c r="V190" s="20">
        <f t="shared" ca="1" si="37"/>
        <v>0.88</v>
      </c>
      <c r="W190" s="20">
        <f t="shared" ca="1" si="37"/>
        <v>0.82</v>
      </c>
      <c r="X190">
        <f t="shared" ca="1" si="33"/>
        <v>36.77073</v>
      </c>
      <c r="Y190">
        <f t="shared" ca="1" si="34"/>
        <v>47.666229999999999</v>
      </c>
      <c r="Z190" s="19">
        <f t="shared" ca="1" si="38"/>
        <v>0.05</v>
      </c>
      <c r="AA190" s="19">
        <f t="shared" ca="1" si="38"/>
        <v>0.2</v>
      </c>
      <c r="AB190" s="19">
        <f t="shared" ca="1" si="38"/>
        <v>0.93</v>
      </c>
      <c r="AC190">
        <f t="shared" ca="1" si="35"/>
        <v>36.8292</v>
      </c>
      <c r="AD190">
        <f t="shared" ca="1" si="36"/>
        <v>47.677639999999997</v>
      </c>
      <c r="AE190">
        <f t="shared" ca="1" si="28"/>
        <v>1027</v>
      </c>
      <c r="AF190">
        <f t="shared" ca="1" si="29"/>
        <v>36.102699999999999</v>
      </c>
      <c r="AI190" s="10" t="s">
        <v>39</v>
      </c>
      <c r="AJ190" t="str">
        <f t="shared" si="30"/>
        <v>BMP-2  #189</v>
      </c>
      <c r="AL190" s="10">
        <f t="shared" ca="1" si="31"/>
        <v>49</v>
      </c>
      <c r="AM190" s="10">
        <f t="shared" ca="1" si="32"/>
        <v>47.704900000000002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0.88</v>
      </c>
      <c r="V191" s="20">
        <f t="shared" ca="1" si="37"/>
        <v>0.92</v>
      </c>
      <c r="W191" s="20">
        <f t="shared" ca="1" si="37"/>
        <v>0.27</v>
      </c>
      <c r="X191">
        <f t="shared" ca="1" si="33"/>
        <v>36.721809999999998</v>
      </c>
      <c r="Y191">
        <f t="shared" ca="1" si="34"/>
        <v>47.559959999999997</v>
      </c>
      <c r="Z191" s="19">
        <f t="shared" ca="1" si="38"/>
        <v>0.92</v>
      </c>
      <c r="AA191" s="19">
        <f t="shared" ca="1" si="38"/>
        <v>0.25</v>
      </c>
      <c r="AB191" s="19">
        <f t="shared" ca="1" si="38"/>
        <v>0.66</v>
      </c>
      <c r="AC191">
        <f t="shared" ca="1" si="35"/>
        <v>36.825000000000003</v>
      </c>
      <c r="AD191">
        <f t="shared" ca="1" si="36"/>
        <v>47.691499999999998</v>
      </c>
      <c r="AE191">
        <f t="shared" ca="1" si="28"/>
        <v>2332</v>
      </c>
      <c r="AF191">
        <f t="shared" ca="1" si="29"/>
        <v>36.233199999999997</v>
      </c>
      <c r="AI191" s="10" t="s">
        <v>39</v>
      </c>
      <c r="AJ191" t="str">
        <f t="shared" si="30"/>
        <v>BMP-2  #190</v>
      </c>
      <c r="AL191" s="10">
        <f t="shared" ca="1" si="31"/>
        <v>425</v>
      </c>
      <c r="AM191" s="10">
        <f t="shared" ca="1" si="32"/>
        <v>47.7425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0.21</v>
      </c>
      <c r="V192" s="20">
        <f t="shared" ca="1" si="37"/>
        <v>0.94</v>
      </c>
      <c r="W192" s="20">
        <f t="shared" ca="1" si="37"/>
        <v>0.52</v>
      </c>
      <c r="X192">
        <f t="shared" ca="1" si="33"/>
        <v>36.603879999999997</v>
      </c>
      <c r="Y192">
        <f t="shared" ca="1" si="34"/>
        <v>47.552630000000001</v>
      </c>
      <c r="Z192" s="19">
        <f t="shared" ca="1" si="38"/>
        <v>0.59</v>
      </c>
      <c r="AA192" s="19">
        <f t="shared" ca="1" si="38"/>
        <v>0.86</v>
      </c>
      <c r="AB192" s="19">
        <f t="shared" ca="1" si="38"/>
        <v>0.99</v>
      </c>
      <c r="AC192">
        <f t="shared" ca="1" si="35"/>
        <v>36.803629999999998</v>
      </c>
      <c r="AD192">
        <f t="shared" ca="1" si="36"/>
        <v>47.699539999999999</v>
      </c>
      <c r="AE192">
        <f t="shared" ca="1" si="28"/>
        <v>8255</v>
      </c>
      <c r="AF192">
        <f t="shared" ca="1" si="29"/>
        <v>36.825499999999998</v>
      </c>
      <c r="AI192" s="10" t="s">
        <v>40</v>
      </c>
      <c r="AJ192" t="str">
        <f t="shared" si="30"/>
        <v>BTR-80  #191</v>
      </c>
      <c r="AL192" s="10">
        <f t="shared" ca="1" si="31"/>
        <v>496</v>
      </c>
      <c r="AM192" s="10">
        <f t="shared" ca="1" si="32"/>
        <v>47.749600000000001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0.19</v>
      </c>
      <c r="V193" s="20">
        <f t="shared" ca="1" si="37"/>
        <v>0.16</v>
      </c>
      <c r="W193" s="20">
        <f t="shared" ca="1" si="37"/>
        <v>0.49</v>
      </c>
      <c r="X193">
        <f t="shared" ca="1" si="33"/>
        <v>36.599200000000003</v>
      </c>
      <c r="Y193">
        <f t="shared" ca="1" si="34"/>
        <v>47.6404</v>
      </c>
      <c r="Z193" s="19">
        <f t="shared" ca="1" si="38"/>
        <v>0.65</v>
      </c>
      <c r="AA193" s="19">
        <f t="shared" ca="1" si="38"/>
        <v>0.47</v>
      </c>
      <c r="AB193" s="19">
        <f t="shared" ca="1" si="38"/>
        <v>0.84</v>
      </c>
      <c r="AC193">
        <f t="shared" ca="1" si="35"/>
        <v>36.815719999999999</v>
      </c>
      <c r="AD193">
        <f t="shared" ca="1" si="36"/>
        <v>47.694519999999997</v>
      </c>
      <c r="AE193">
        <f t="shared" ca="1" si="28"/>
        <v>7029</v>
      </c>
      <c r="AF193">
        <f t="shared" ca="1" si="29"/>
        <v>36.7029</v>
      </c>
      <c r="AI193" s="10" t="s">
        <v>39</v>
      </c>
      <c r="AJ193" t="str">
        <f t="shared" si="30"/>
        <v>BMP-2  #192</v>
      </c>
      <c r="AL193" s="10">
        <f t="shared" ca="1" si="31"/>
        <v>642</v>
      </c>
      <c r="AM193" s="10">
        <f t="shared" ca="1" si="32"/>
        <v>47.764200000000002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0.7</v>
      </c>
      <c r="V194" s="20">
        <f t="shared" ca="1" si="37"/>
        <v>0.77</v>
      </c>
      <c r="W194" s="20">
        <f t="shared" ca="1" si="37"/>
        <v>0.15</v>
      </c>
      <c r="X194">
        <f t="shared" ca="1" si="33"/>
        <v>36.70091</v>
      </c>
      <c r="Y194">
        <f t="shared" ca="1" si="34"/>
        <v>47.550829999999998</v>
      </c>
      <c r="Z194" s="19">
        <f t="shared" ca="1" si="38"/>
        <v>0.69</v>
      </c>
      <c r="AA194" s="19">
        <f t="shared" ca="1" si="38"/>
        <v>0.22</v>
      </c>
      <c r="AB194" s="19">
        <f t="shared" ca="1" si="38"/>
        <v>0.96</v>
      </c>
      <c r="AC194">
        <f t="shared" ca="1" si="35"/>
        <v>36.826549999999997</v>
      </c>
      <c r="AD194">
        <f t="shared" ca="1" si="36"/>
        <v>47.699060000000003</v>
      </c>
      <c r="AE194">
        <f t="shared" ca="1" si="28"/>
        <v>6403</v>
      </c>
      <c r="AF194">
        <f t="shared" ca="1" si="29"/>
        <v>36.640300000000003</v>
      </c>
      <c r="AI194" s="10" t="s">
        <v>39</v>
      </c>
      <c r="AJ194" t="str">
        <f t="shared" si="30"/>
        <v>BMP-2  #193</v>
      </c>
      <c r="AL194" s="10">
        <f t="shared" ca="1" si="31"/>
        <v>604</v>
      </c>
      <c r="AM194" s="10">
        <f t="shared" ca="1" si="32"/>
        <v>47.760400000000004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0.47</v>
      </c>
      <c r="V195" s="20">
        <f t="shared" ca="1" si="37"/>
        <v>0.9</v>
      </c>
      <c r="W195" s="20">
        <f t="shared" ca="1" si="37"/>
        <v>0.56999999999999995</v>
      </c>
      <c r="X195">
        <f t="shared" ca="1" si="33"/>
        <v>36.748939999999997</v>
      </c>
      <c r="Y195">
        <f t="shared" ca="1" si="34"/>
        <v>47.618409999999997</v>
      </c>
      <c r="Z195" s="19">
        <f t="shared" ca="1" si="38"/>
        <v>0.11</v>
      </c>
      <c r="AA195" s="19">
        <f t="shared" ca="1" si="38"/>
        <v>0.04</v>
      </c>
      <c r="AB195" s="19">
        <f t="shared" ca="1" si="38"/>
        <v>0.49</v>
      </c>
      <c r="AC195">
        <f t="shared" ca="1" si="35"/>
        <v>36.845100000000002</v>
      </c>
      <c r="AD195">
        <f t="shared" ca="1" si="36"/>
        <v>47.69</v>
      </c>
      <c r="AE195">
        <f t="shared" ref="AE195:AE201" ca="1" si="39">RANDBETWEEN(0,10000)</f>
        <v>9940</v>
      </c>
      <c r="AF195">
        <f t="shared" ref="AF195:AF201" ca="1" si="40">36+AE195/10000</f>
        <v>36.994</v>
      </c>
      <c r="AI195" s="10" t="s">
        <v>40</v>
      </c>
      <c r="AJ195" t="str">
        <f t="shared" ref="AJ195:AJ226" si="41">CONCATENATE(AI195," #",A195)</f>
        <v>BTR-80  #194</v>
      </c>
      <c r="AL195" s="10">
        <f t="shared" ref="AL195:AL201" ca="1" si="42">RANDBETWEEN(0,1000)</f>
        <v>843</v>
      </c>
      <c r="AM195" s="10">
        <f t="shared" ref="AM195:AM201" ca="1" si="43">47.7+AL195/10000</f>
        <v>47.784300000000002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0.25</v>
      </c>
      <c r="V196" s="20">
        <f t="shared" ca="1" si="37"/>
        <v>0.38</v>
      </c>
      <c r="W196" s="20">
        <f t="shared" ca="1" si="37"/>
        <v>0.83</v>
      </c>
      <c r="X196">
        <f t="shared" ca="1" si="33"/>
        <v>36.640689999999999</v>
      </c>
      <c r="Y196">
        <f t="shared" ca="1" si="34"/>
        <v>47.58719</v>
      </c>
      <c r="Z196" s="19">
        <f t="shared" ca="1" si="38"/>
        <v>0.06</v>
      </c>
      <c r="AA196" s="19">
        <f t="shared" ca="1" si="38"/>
        <v>0.02</v>
      </c>
      <c r="AB196" s="19">
        <f t="shared" ca="1" si="38"/>
        <v>0.5</v>
      </c>
      <c r="AC196">
        <f t="shared" ca="1" si="35"/>
        <v>36.84646</v>
      </c>
      <c r="AD196">
        <f t="shared" ca="1" si="36"/>
        <v>47.692929999999997</v>
      </c>
      <c r="AE196">
        <f t="shared" ca="1" si="39"/>
        <v>1691</v>
      </c>
      <c r="AF196">
        <f t="shared" ca="1" si="40"/>
        <v>36.1691</v>
      </c>
      <c r="AI196" s="10" t="s">
        <v>39</v>
      </c>
      <c r="AJ196" t="str">
        <f t="shared" si="41"/>
        <v>BMP-2  #195</v>
      </c>
      <c r="AL196" s="10">
        <f t="shared" ca="1" si="42"/>
        <v>94</v>
      </c>
      <c r="AM196" s="10">
        <f t="shared" ca="1" si="43"/>
        <v>47.709400000000002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0.86</v>
      </c>
      <c r="V197" s="20">
        <f t="shared" ca="1" si="37"/>
        <v>0.32</v>
      </c>
      <c r="W197" s="20">
        <f t="shared" ca="1" si="37"/>
        <v>0.33</v>
      </c>
      <c r="X197">
        <f t="shared" ca="1" si="33"/>
        <v>36.675240000000002</v>
      </c>
      <c r="Y197">
        <f t="shared" ca="1" si="34"/>
        <v>47.624200000000002</v>
      </c>
      <c r="Z197" s="19">
        <f t="shared" ca="1" si="38"/>
        <v>0.19</v>
      </c>
      <c r="AA197" s="19">
        <f t="shared" ca="1" si="38"/>
        <v>0.49</v>
      </c>
      <c r="AB197" s="19">
        <f t="shared" ca="1" si="38"/>
        <v>0.38</v>
      </c>
      <c r="AC197">
        <f t="shared" ca="1" si="35"/>
        <v>36.8367</v>
      </c>
      <c r="AD197">
        <f t="shared" ca="1" si="36"/>
        <v>47.664999999999999</v>
      </c>
      <c r="AE197">
        <f t="shared" ca="1" si="39"/>
        <v>6752</v>
      </c>
      <c r="AF197">
        <f t="shared" ca="1" si="40"/>
        <v>36.675199999999997</v>
      </c>
      <c r="AI197" s="10" t="s">
        <v>39</v>
      </c>
      <c r="AJ197" t="str">
        <f t="shared" si="41"/>
        <v>BMP-2  #196</v>
      </c>
      <c r="AL197" s="10">
        <f t="shared" ca="1" si="42"/>
        <v>946</v>
      </c>
      <c r="AM197" s="10">
        <f t="shared" ca="1" si="43"/>
        <v>47.794600000000003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0.17</v>
      </c>
      <c r="V198" s="20">
        <f t="shared" ca="1" si="37"/>
        <v>0.57999999999999996</v>
      </c>
      <c r="W198" s="20">
        <f t="shared" ca="1" si="37"/>
        <v>0.64</v>
      </c>
      <c r="X198">
        <f t="shared" ca="1" si="33"/>
        <v>36.621319999999997</v>
      </c>
      <c r="Y198">
        <f t="shared" ca="1" si="34"/>
        <v>47.575099999999999</v>
      </c>
      <c r="Z198" s="19">
        <f t="shared" ca="1" si="38"/>
        <v>0.56000000000000005</v>
      </c>
      <c r="AA198" s="19">
        <f t="shared" ca="1" si="38"/>
        <v>1</v>
      </c>
      <c r="AB198" s="19">
        <f t="shared" ca="1" si="38"/>
        <v>0.97</v>
      </c>
      <c r="AC198">
        <f t="shared" ca="1" si="35"/>
        <v>36.799999999999997</v>
      </c>
      <c r="AD198">
        <f t="shared" ca="1" si="36"/>
        <v>47.698500000000003</v>
      </c>
      <c r="AE198">
        <f t="shared" ca="1" si="39"/>
        <v>3371</v>
      </c>
      <c r="AF198">
        <f t="shared" ca="1" si="40"/>
        <v>36.3371</v>
      </c>
      <c r="AI198" s="10" t="s">
        <v>40</v>
      </c>
      <c r="AJ198" t="str">
        <f t="shared" si="41"/>
        <v>BTR-80  #197</v>
      </c>
      <c r="AL198" s="10">
        <f t="shared" ca="1" si="42"/>
        <v>518</v>
      </c>
      <c r="AM198" s="10">
        <f t="shared" ca="1" si="43"/>
        <v>47.751800000000003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0.13</v>
      </c>
      <c r="V199" s="20">
        <f t="shared" ca="1" si="37"/>
        <v>0.51</v>
      </c>
      <c r="W199" s="20">
        <f t="shared" ca="1" si="37"/>
        <v>0</v>
      </c>
      <c r="X199">
        <f t="shared" ca="1" si="33"/>
        <v>36.528590000000001</v>
      </c>
      <c r="Y199">
        <f t="shared" ca="1" si="34"/>
        <v>47.628590000000003</v>
      </c>
      <c r="Z199" s="19">
        <f t="shared" ca="1" si="38"/>
        <v>0.65</v>
      </c>
      <c r="AA199" s="19">
        <f t="shared" ca="1" si="38"/>
        <v>0.68</v>
      </c>
      <c r="AB199" s="19">
        <f t="shared" ca="1" si="38"/>
        <v>0.92</v>
      </c>
      <c r="AC199">
        <f t="shared" ca="1" si="35"/>
        <v>36.808770000000003</v>
      </c>
      <c r="AD199">
        <f t="shared" ca="1" si="36"/>
        <v>47.6967</v>
      </c>
      <c r="AE199">
        <f t="shared" ca="1" si="39"/>
        <v>1435</v>
      </c>
      <c r="AF199">
        <f t="shared" ca="1" si="40"/>
        <v>36.143500000000003</v>
      </c>
      <c r="AI199" s="10" t="s">
        <v>41</v>
      </c>
      <c r="AJ199" t="str">
        <f t="shared" si="41"/>
        <v>Infantry Squad  #198</v>
      </c>
      <c r="AL199" s="10">
        <f t="shared" ca="1" si="42"/>
        <v>344</v>
      </c>
      <c r="AM199" s="10">
        <f t="shared" ca="1" si="43"/>
        <v>47.734400000000001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0.5</v>
      </c>
      <c r="V200" s="20">
        <f t="shared" ca="1" si="37"/>
        <v>0.17</v>
      </c>
      <c r="W200" s="20">
        <f t="shared" ca="1" si="37"/>
        <v>0.95</v>
      </c>
      <c r="X200">
        <f t="shared" ca="1" si="33"/>
        <v>36.680399999999999</v>
      </c>
      <c r="Y200">
        <f t="shared" ca="1" si="34"/>
        <v>47.695880000000002</v>
      </c>
      <c r="Z200" s="19">
        <f t="shared" ca="1" si="38"/>
        <v>0.33</v>
      </c>
      <c r="AA200" s="19">
        <f t="shared" ca="1" si="38"/>
        <v>0.92</v>
      </c>
      <c r="AB200" s="19">
        <f t="shared" ca="1" si="38"/>
        <v>0.57999999999999996</v>
      </c>
      <c r="AC200">
        <f t="shared" ca="1" si="35"/>
        <v>36.822180000000003</v>
      </c>
      <c r="AD200">
        <f t="shared" ca="1" si="36"/>
        <v>47.65204</v>
      </c>
      <c r="AE200">
        <f t="shared" ca="1" si="39"/>
        <v>762</v>
      </c>
      <c r="AF200">
        <f t="shared" ca="1" si="40"/>
        <v>36.0762</v>
      </c>
      <c r="AI200" s="10" t="s">
        <v>41</v>
      </c>
      <c r="AJ200" t="str">
        <f t="shared" si="41"/>
        <v>Infantry Squad  #199</v>
      </c>
      <c r="AL200" s="10">
        <f t="shared" ca="1" si="42"/>
        <v>953</v>
      </c>
      <c r="AM200" s="10">
        <f t="shared" ca="1" si="43"/>
        <v>47.795300000000005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0.42</v>
      </c>
      <c r="V201" s="20">
        <f t="shared" ca="1" si="37"/>
        <v>0.77</v>
      </c>
      <c r="W201" s="20">
        <f t="shared" ca="1" si="37"/>
        <v>0.27</v>
      </c>
      <c r="X201">
        <f t="shared" ca="1" si="33"/>
        <v>36.559640000000002</v>
      </c>
      <c r="Y201">
        <f t="shared" ca="1" si="34"/>
        <v>47.588560000000001</v>
      </c>
      <c r="Z201" s="19">
        <f t="shared" ca="1" si="38"/>
        <v>0.04</v>
      </c>
      <c r="AA201" s="19">
        <f t="shared" ca="1" si="38"/>
        <v>0.94</v>
      </c>
      <c r="AB201" s="19">
        <f t="shared" ca="1" si="38"/>
        <v>0.66</v>
      </c>
      <c r="AC201">
        <f t="shared" ca="1" si="35"/>
        <v>36.818010000000001</v>
      </c>
      <c r="AD201">
        <f t="shared" ca="1" si="36"/>
        <v>47.651519999999998</v>
      </c>
      <c r="AE201">
        <f t="shared" ca="1" si="39"/>
        <v>9545</v>
      </c>
      <c r="AF201">
        <f t="shared" ca="1" si="40"/>
        <v>36.954500000000003</v>
      </c>
      <c r="AI201" s="10" t="s">
        <v>41</v>
      </c>
      <c r="AJ201" t="str">
        <f t="shared" si="41"/>
        <v>Infantry Squad  #200</v>
      </c>
      <c r="AL201" s="10">
        <f t="shared" ca="1" si="42"/>
        <v>427</v>
      </c>
      <c r="AM201" s="10">
        <f t="shared" ca="1" si="43"/>
        <v>47.742700000000006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36.838819999999998</v>
      </c>
      <c r="F202" s="5">
        <v>47.692169999999997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0.9</v>
      </c>
      <c r="V202" s="20">
        <f t="shared" ca="1" si="37"/>
        <v>0.28000000000000003</v>
      </c>
      <c r="W202" s="20">
        <f t="shared" ca="1" si="37"/>
        <v>0.76</v>
      </c>
      <c r="X202">
        <f t="shared" ca="1" si="33"/>
        <v>36.693129999999996</v>
      </c>
      <c r="Y202">
        <f t="shared" ca="1" si="34"/>
        <v>47.674599999999998</v>
      </c>
      <c r="Z202" s="19">
        <f t="shared" ca="1" si="38"/>
        <v>0.68</v>
      </c>
      <c r="AA202" s="19">
        <f t="shared" ca="1" si="38"/>
        <v>0.95</v>
      </c>
      <c r="AB202" s="19">
        <f t="shared" ca="1" si="38"/>
        <v>0.4</v>
      </c>
      <c r="AC202">
        <f t="shared" ca="1" si="35"/>
        <v>36.801270000000002</v>
      </c>
      <c r="AD202">
        <f t="shared" ca="1" si="36"/>
        <v>47.670760000000001</v>
      </c>
      <c r="AE202">
        <f t="shared" ref="AE202:AE234" ca="1" si="44">RANDBETWEEN(0,10000)</f>
        <v>5660</v>
      </c>
      <c r="AF202">
        <f t="shared" ref="AF202:AF234" ca="1" si="45">36+AE202/10000</f>
        <v>36.566000000000003</v>
      </c>
      <c r="AI202" s="4" t="s">
        <v>42</v>
      </c>
      <c r="AJ202" t="str">
        <f t="shared" si="41"/>
        <v>M1A2 Abrams  #801</v>
      </c>
      <c r="AL202" s="16">
        <f t="shared" ref="AL202:AL234" ca="1" si="46">RANDBETWEEN(0,1000)</f>
        <v>864</v>
      </c>
      <c r="AM202" s="16">
        <f ca="1">47.4+AL202/10000</f>
        <v>47.486399999999996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36.840989999999998</v>
      </c>
      <c r="F203" s="5">
        <v>47.652569999999997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0.1</v>
      </c>
      <c r="V203" s="20">
        <f t="shared" ca="1" si="37"/>
        <v>0.74</v>
      </c>
      <c r="W203" s="20">
        <f t="shared" ca="1" si="37"/>
        <v>0.5</v>
      </c>
      <c r="X203">
        <f t="shared" ca="1" si="33"/>
        <v>36.6</v>
      </c>
      <c r="Y203">
        <f t="shared" ca="1" si="34"/>
        <v>47.570970000000003</v>
      </c>
      <c r="Z203" s="19">
        <f t="shared" ca="1" si="38"/>
        <v>0.81</v>
      </c>
      <c r="AA203" s="19">
        <f t="shared" ca="1" si="38"/>
        <v>0.37</v>
      </c>
      <c r="AB203" s="19">
        <f t="shared" ca="1" si="38"/>
        <v>0.05</v>
      </c>
      <c r="AC203">
        <f t="shared" ca="1" si="35"/>
        <v>36.819589999999998</v>
      </c>
      <c r="AD203">
        <f t="shared" ca="1" si="36"/>
        <v>47.671109999999999</v>
      </c>
      <c r="AE203">
        <f t="shared" ca="1" si="44"/>
        <v>6149</v>
      </c>
      <c r="AF203">
        <f t="shared" ca="1" si="45"/>
        <v>36.614899999999999</v>
      </c>
      <c r="AI203" s="4" t="s">
        <v>42</v>
      </c>
      <c r="AJ203" t="str">
        <f t="shared" si="41"/>
        <v>M1A2 Abrams  #802</v>
      </c>
      <c r="AL203" s="16">
        <f t="shared" ca="1" si="46"/>
        <v>714</v>
      </c>
      <c r="AM203" s="16">
        <f t="shared" ref="AM203:AM266" ca="1" si="47">47.4+AL203/10000</f>
        <v>47.471399999999996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36.833730000000003</v>
      </c>
      <c r="F204" s="5">
        <v>47.67709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0.41</v>
      </c>
      <c r="V204" s="20">
        <f t="shared" ca="1" si="37"/>
        <v>0.52</v>
      </c>
      <c r="W204" s="20">
        <f t="shared" ca="1" si="37"/>
        <v>0.56999999999999995</v>
      </c>
      <c r="X204">
        <f t="shared" ca="1" si="33"/>
        <v>36.610100000000003</v>
      </c>
      <c r="Y204">
        <f t="shared" ca="1" si="34"/>
        <v>47.586790000000001</v>
      </c>
      <c r="Z204" s="19">
        <f t="shared" ca="1" si="38"/>
        <v>0.28000000000000003</v>
      </c>
      <c r="AA204" s="19">
        <f t="shared" ca="1" si="38"/>
        <v>0.52</v>
      </c>
      <c r="AB204" s="19">
        <f t="shared" ca="1" si="38"/>
        <v>0.38</v>
      </c>
      <c r="AC204">
        <f t="shared" ca="1" si="35"/>
        <v>36.836300000000001</v>
      </c>
      <c r="AD204">
        <f t="shared" ca="1" si="36"/>
        <v>47.663939999999997</v>
      </c>
      <c r="AE204">
        <f t="shared" ca="1" si="44"/>
        <v>7603</v>
      </c>
      <c r="AF204">
        <f t="shared" ca="1" si="45"/>
        <v>36.760300000000001</v>
      </c>
      <c r="AI204" s="4" t="s">
        <v>42</v>
      </c>
      <c r="AJ204" t="str">
        <f t="shared" si="41"/>
        <v>M1A2 Abrams  #803</v>
      </c>
      <c r="AL204" s="16">
        <f t="shared" ca="1" si="46"/>
        <v>763</v>
      </c>
      <c r="AM204" s="16">
        <f t="shared" ca="1" si="47"/>
        <v>47.476300000000002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36.804169999999999</v>
      </c>
      <c r="F205" s="5">
        <v>47.654170000000001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0.34</v>
      </c>
      <c r="V205" s="20">
        <f t="shared" ca="1" si="37"/>
        <v>0.27</v>
      </c>
      <c r="W205" s="20">
        <f t="shared" ca="1" si="37"/>
        <v>0.02</v>
      </c>
      <c r="X205">
        <f t="shared" ca="1" si="33"/>
        <v>36.55012</v>
      </c>
      <c r="Y205">
        <f t="shared" ca="1" si="34"/>
        <v>47.646999999999998</v>
      </c>
      <c r="Z205" s="19">
        <f t="shared" ca="1" si="38"/>
        <v>0.02</v>
      </c>
      <c r="AA205" s="19">
        <f t="shared" ca="1" si="38"/>
        <v>0.21</v>
      </c>
      <c r="AB205" s="19">
        <f t="shared" ca="1" si="38"/>
        <v>0.67</v>
      </c>
      <c r="AC205">
        <f t="shared" ca="1" si="35"/>
        <v>36.834650000000003</v>
      </c>
      <c r="AD205">
        <f t="shared" ca="1" si="36"/>
        <v>47.67709</v>
      </c>
      <c r="AE205">
        <f t="shared" ca="1" si="44"/>
        <v>8325</v>
      </c>
      <c r="AF205">
        <f t="shared" ca="1" si="45"/>
        <v>36.832500000000003</v>
      </c>
      <c r="AI205" s="4" t="s">
        <v>43</v>
      </c>
      <c r="AJ205" t="str">
        <f t="shared" si="41"/>
        <v>M2 Bradley  #804</v>
      </c>
      <c r="AL205" s="16">
        <f t="shared" ca="1" si="46"/>
        <v>564</v>
      </c>
      <c r="AM205" s="16">
        <f t="shared" ca="1" si="47"/>
        <v>47.456399999999995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36.843260000000001</v>
      </c>
      <c r="F206" s="5">
        <v>47.657870000000003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0.15</v>
      </c>
      <c r="V206" s="20">
        <f t="shared" ca="1" si="37"/>
        <v>0.74</v>
      </c>
      <c r="W206" s="20">
        <f t="shared" ca="1" si="37"/>
        <v>0.79</v>
      </c>
      <c r="X206">
        <f t="shared" ca="1" si="33"/>
        <v>36.649889999999999</v>
      </c>
      <c r="Y206">
        <f t="shared" ca="1" si="34"/>
        <v>47.546019999999999</v>
      </c>
      <c r="Z206" s="19">
        <f t="shared" ca="1" si="38"/>
        <v>0.83</v>
      </c>
      <c r="AA206" s="19">
        <f t="shared" ca="1" si="38"/>
        <v>0.69</v>
      </c>
      <c r="AB206" s="19">
        <f t="shared" ca="1" si="38"/>
        <v>0.76</v>
      </c>
      <c r="AC206">
        <f t="shared" ca="1" si="35"/>
        <v>36.80847</v>
      </c>
      <c r="AD206">
        <f t="shared" ca="1" si="36"/>
        <v>47.69003</v>
      </c>
      <c r="AE206">
        <f t="shared" ca="1" si="44"/>
        <v>9223</v>
      </c>
      <c r="AF206">
        <f t="shared" ca="1" si="45"/>
        <v>36.9223</v>
      </c>
      <c r="AI206" s="4" t="s">
        <v>43</v>
      </c>
      <c r="AJ206" t="str">
        <f t="shared" si="41"/>
        <v>M2 Bradley  #805</v>
      </c>
      <c r="AL206" s="16">
        <f t="shared" ca="1" si="46"/>
        <v>521</v>
      </c>
      <c r="AM206" s="16">
        <f t="shared" ca="1" si="47"/>
        <v>47.452100000000002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36.833419999999997</v>
      </c>
      <c r="F207" s="5">
        <v>47.696190000000001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0.87</v>
      </c>
      <c r="V207" s="20">
        <f t="shared" ca="1" si="37"/>
        <v>0.35</v>
      </c>
      <c r="W207" s="20">
        <f t="shared" ca="1" si="37"/>
        <v>0.6</v>
      </c>
      <c r="X207">
        <f t="shared" ca="1" si="33"/>
        <v>36.694659999999999</v>
      </c>
      <c r="Y207">
        <f t="shared" ca="1" si="34"/>
        <v>47.652670000000001</v>
      </c>
      <c r="Z207" s="19">
        <f t="shared" ca="1" si="38"/>
        <v>0.55000000000000004</v>
      </c>
      <c r="AA207" s="19">
        <f t="shared" ca="1" si="38"/>
        <v>0.18</v>
      </c>
      <c r="AB207" s="19">
        <f t="shared" ca="1" si="38"/>
        <v>0.93</v>
      </c>
      <c r="AC207">
        <f t="shared" ca="1" si="35"/>
        <v>36.828789999999998</v>
      </c>
      <c r="AD207">
        <f t="shared" ca="1" si="36"/>
        <v>47.698520000000002</v>
      </c>
      <c r="AE207">
        <f t="shared" ca="1" si="44"/>
        <v>3880</v>
      </c>
      <c r="AF207">
        <f t="shared" ca="1" si="45"/>
        <v>36.387999999999998</v>
      </c>
      <c r="AI207" s="4" t="s">
        <v>44</v>
      </c>
      <c r="AJ207" t="str">
        <f t="shared" si="41"/>
        <v>Stryker  #806</v>
      </c>
      <c r="AL207" s="16">
        <f t="shared" ca="1" si="46"/>
        <v>376</v>
      </c>
      <c r="AM207" s="16">
        <f t="shared" ca="1" si="47"/>
        <v>47.437599999999996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36.826999999999998</v>
      </c>
      <c r="F208" s="5">
        <v>47.65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0.81</v>
      </c>
      <c r="V208" s="20">
        <f t="shared" ca="1" si="37"/>
        <v>0.31</v>
      </c>
      <c r="W208" s="20">
        <f t="shared" ca="1" si="37"/>
        <v>0.13</v>
      </c>
      <c r="X208">
        <f t="shared" ca="1" si="33"/>
        <v>36.66292</v>
      </c>
      <c r="Y208">
        <f t="shared" ca="1" si="34"/>
        <v>47.603119999999997</v>
      </c>
      <c r="Z208" s="19">
        <f t="shared" ca="1" si="38"/>
        <v>0.53</v>
      </c>
      <c r="AA208" s="19">
        <f t="shared" ca="1" si="38"/>
        <v>0.59</v>
      </c>
      <c r="AB208" s="19">
        <f t="shared" ca="1" si="38"/>
        <v>0.02</v>
      </c>
      <c r="AC208">
        <f t="shared" ca="1" si="35"/>
        <v>36.811590000000002</v>
      </c>
      <c r="AD208">
        <f t="shared" ca="1" si="36"/>
        <v>47.66236</v>
      </c>
      <c r="AE208">
        <f t="shared" ca="1" si="44"/>
        <v>7107</v>
      </c>
      <c r="AF208">
        <f t="shared" ca="1" si="45"/>
        <v>36.710700000000003</v>
      </c>
      <c r="AI208" s="4" t="s">
        <v>41</v>
      </c>
      <c r="AJ208" t="str">
        <f t="shared" si="41"/>
        <v>Infantry Squad  #807</v>
      </c>
      <c r="AL208" s="16">
        <f t="shared" ca="1" si="46"/>
        <v>555</v>
      </c>
      <c r="AM208" s="16">
        <f t="shared" ca="1" si="47"/>
        <v>47.455500000000001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36.833419999999997</v>
      </c>
      <c r="F209" s="5">
        <v>47.69652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0.23</v>
      </c>
      <c r="V209" s="20">
        <f t="shared" ca="1" si="37"/>
        <v>0.63</v>
      </c>
      <c r="W209" s="20">
        <f t="shared" ca="1" si="37"/>
        <v>0.99</v>
      </c>
      <c r="X209">
        <f t="shared" ca="1" si="33"/>
        <v>36.677790000000002</v>
      </c>
      <c r="Y209">
        <f t="shared" ca="1" si="34"/>
        <v>47.542050000000003</v>
      </c>
      <c r="Z209" s="19">
        <f t="shared" ca="1" si="38"/>
        <v>0.49</v>
      </c>
      <c r="AA209" s="19">
        <f t="shared" ca="1" si="38"/>
        <v>0.01</v>
      </c>
      <c r="AB209" s="19">
        <f t="shared" ca="1" si="38"/>
        <v>0.77</v>
      </c>
      <c r="AC209">
        <f t="shared" ca="1" si="35"/>
        <v>36.846150000000002</v>
      </c>
      <c r="AD209">
        <f t="shared" ca="1" si="36"/>
        <v>47.695</v>
      </c>
      <c r="AE209">
        <f t="shared" ca="1" si="44"/>
        <v>4758</v>
      </c>
      <c r="AF209">
        <f t="shared" ca="1" si="45"/>
        <v>36.4758</v>
      </c>
      <c r="AI209" s="4" t="s">
        <v>41</v>
      </c>
      <c r="AJ209" t="str">
        <f t="shared" si="41"/>
        <v>Infantry Squad  #808</v>
      </c>
      <c r="AL209" s="16">
        <f t="shared" ca="1" si="46"/>
        <v>40</v>
      </c>
      <c r="AM209" s="16">
        <f t="shared" ca="1" si="47"/>
        <v>47.403999999999996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36.828789999999998</v>
      </c>
      <c r="F210" s="5">
        <v>47.698520000000002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0.44</v>
      </c>
      <c r="V210" s="20">
        <f t="shared" ca="1" si="37"/>
        <v>0.92</v>
      </c>
      <c r="W210" s="20">
        <f t="shared" ca="1" si="37"/>
        <v>0.33</v>
      </c>
      <c r="X210">
        <f t="shared" ca="1" si="33"/>
        <v>36.72757</v>
      </c>
      <c r="Y210">
        <f t="shared" ca="1" si="34"/>
        <v>47.571469999999998</v>
      </c>
      <c r="Z210" s="19">
        <f t="shared" ca="1" si="38"/>
        <v>0.48</v>
      </c>
      <c r="AA210" s="19">
        <f t="shared" ca="1" si="38"/>
        <v>0.22</v>
      </c>
      <c r="AB210" s="19">
        <f t="shared" ca="1" si="38"/>
        <v>0.99</v>
      </c>
      <c r="AC210">
        <f t="shared" ca="1" si="35"/>
        <v>36.826779999999999</v>
      </c>
      <c r="AD210">
        <f t="shared" ca="1" si="36"/>
        <v>47.676549999999999</v>
      </c>
      <c r="AE210">
        <f t="shared" ca="1" si="44"/>
        <v>419</v>
      </c>
      <c r="AF210">
        <f t="shared" ca="1" si="45"/>
        <v>36.041899999999998</v>
      </c>
      <c r="AI210" s="4" t="s">
        <v>41</v>
      </c>
      <c r="AJ210" t="str">
        <f t="shared" si="41"/>
        <v>Infantry Squad  #809</v>
      </c>
      <c r="AL210" s="16">
        <f t="shared" ca="1" si="46"/>
        <v>671</v>
      </c>
      <c r="AM210" s="16">
        <f t="shared" ca="1" si="47"/>
        <v>47.467100000000002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36.812579999999997</v>
      </c>
      <c r="F211" s="5">
        <v>47.6798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0.05</v>
      </c>
      <c r="V211" s="20">
        <f t="shared" ca="1" si="37"/>
        <v>0.31</v>
      </c>
      <c r="W211" s="20">
        <f t="shared" ca="1" si="37"/>
        <v>0.54</v>
      </c>
      <c r="X211">
        <f t="shared" ca="1" si="33"/>
        <v>36.60445</v>
      </c>
      <c r="Y211">
        <f t="shared" ca="1" si="34"/>
        <v>47.614260000000002</v>
      </c>
      <c r="Z211" s="19">
        <f t="shared" ca="1" si="38"/>
        <v>0.88</v>
      </c>
      <c r="AA211" s="19">
        <f t="shared" ca="1" si="38"/>
        <v>0.62</v>
      </c>
      <c r="AB211" s="19">
        <f t="shared" ca="1" si="38"/>
        <v>0.15</v>
      </c>
      <c r="AC211">
        <f t="shared" ca="1" si="35"/>
        <v>36.810630000000003</v>
      </c>
      <c r="AD211">
        <f t="shared" ca="1" si="36"/>
        <v>47.666539999999998</v>
      </c>
      <c r="AE211">
        <f t="shared" ca="1" si="44"/>
        <v>3870</v>
      </c>
      <c r="AF211">
        <f t="shared" ca="1" si="45"/>
        <v>36.387</v>
      </c>
      <c r="AI211" s="4" t="s">
        <v>42</v>
      </c>
      <c r="AJ211" t="str">
        <f t="shared" si="41"/>
        <v>M1A2 Abrams  #810</v>
      </c>
      <c r="AL211" s="16">
        <f t="shared" ca="1" si="46"/>
        <v>181</v>
      </c>
      <c r="AM211" s="16">
        <f t="shared" ca="1" si="47"/>
        <v>47.418099999999995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36.827640000000002</v>
      </c>
      <c r="F212" s="5">
        <v>47.686579999999999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0.59</v>
      </c>
      <c r="V212" s="20">
        <f t="shared" ca="1" si="37"/>
        <v>0.9</v>
      </c>
      <c r="W212" s="20">
        <f t="shared" ca="1" si="37"/>
        <v>0.95</v>
      </c>
      <c r="X212">
        <f t="shared" ca="1" si="33"/>
        <v>36.784990000000001</v>
      </c>
      <c r="Y212">
        <f t="shared" ca="1" si="34"/>
        <v>47.690510000000003</v>
      </c>
      <c r="Z212" s="19">
        <f t="shared" ca="1" si="38"/>
        <v>0.99</v>
      </c>
      <c r="AA212" s="19">
        <f t="shared" ca="1" si="38"/>
        <v>0.78</v>
      </c>
      <c r="AB212" s="19">
        <f t="shared" ca="1" si="38"/>
        <v>7.0000000000000007E-2</v>
      </c>
      <c r="AC212">
        <f t="shared" ca="1" si="35"/>
        <v>36.805840000000003</v>
      </c>
      <c r="AD212">
        <f t="shared" ca="1" si="36"/>
        <v>47.658929999999998</v>
      </c>
      <c r="AE212">
        <f t="shared" ca="1" si="44"/>
        <v>2280</v>
      </c>
      <c r="AF212">
        <f t="shared" ca="1" si="45"/>
        <v>36.228000000000002</v>
      </c>
      <c r="AI212" s="4" t="s">
        <v>42</v>
      </c>
      <c r="AJ212" t="str">
        <f t="shared" si="41"/>
        <v>M1A2 Abrams  #811</v>
      </c>
      <c r="AL212" s="16">
        <f t="shared" ca="1" si="46"/>
        <v>552</v>
      </c>
      <c r="AM212" s="16">
        <f t="shared" ca="1" si="47"/>
        <v>47.455199999999998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36.819589999999998</v>
      </c>
      <c r="F213" s="5">
        <v>47.680840000000003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0.59</v>
      </c>
      <c r="V213" s="20">
        <f t="shared" ca="1" si="37"/>
        <v>0.03</v>
      </c>
      <c r="W213" s="20">
        <f t="shared" ca="1" si="37"/>
        <v>0.14000000000000001</v>
      </c>
      <c r="X213">
        <f t="shared" ca="1" si="33"/>
        <v>36.619750000000003</v>
      </c>
      <c r="Y213">
        <f t="shared" ca="1" si="34"/>
        <v>47.670209999999997</v>
      </c>
      <c r="Z213" s="19">
        <f t="shared" ca="1" si="38"/>
        <v>0.51</v>
      </c>
      <c r="AA213" s="19">
        <f t="shared" ca="1" si="38"/>
        <v>0.54</v>
      </c>
      <c r="AB213" s="19">
        <f t="shared" ca="1" si="38"/>
        <v>0.56999999999999995</v>
      </c>
      <c r="AC213">
        <f t="shared" ca="1" si="35"/>
        <v>36.81326</v>
      </c>
      <c r="AD213">
        <f t="shared" ca="1" si="36"/>
        <v>47.684199999999997</v>
      </c>
      <c r="AE213">
        <f t="shared" ca="1" si="44"/>
        <v>8456</v>
      </c>
      <c r="AF213">
        <f t="shared" ca="1" si="45"/>
        <v>36.845599999999997</v>
      </c>
      <c r="AI213" s="4" t="s">
        <v>42</v>
      </c>
      <c r="AJ213" t="str">
        <f t="shared" si="41"/>
        <v>M1A2 Abrams  #812</v>
      </c>
      <c r="AL213" s="16">
        <f t="shared" ca="1" si="46"/>
        <v>819</v>
      </c>
      <c r="AM213" s="16">
        <f t="shared" ca="1" si="47"/>
        <v>47.481899999999996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36.821719999999999</v>
      </c>
      <c r="F214" s="5">
        <v>47.679070000000003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4"/>
        <v>5633</v>
      </c>
      <c r="AF214">
        <f t="shared" ca="1" si="45"/>
        <v>36.563299999999998</v>
      </c>
      <c r="AI214" s="4" t="s">
        <v>43</v>
      </c>
      <c r="AJ214" t="str">
        <f t="shared" si="41"/>
        <v>M2 Bradley  #813</v>
      </c>
      <c r="AL214" s="16">
        <f t="shared" ca="1" si="46"/>
        <v>588</v>
      </c>
      <c r="AM214" s="16">
        <f t="shared" ca="1" si="47"/>
        <v>47.458799999999997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36.818379999999998</v>
      </c>
      <c r="F215" s="5">
        <v>47.690199999999997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4"/>
        <v>8202</v>
      </c>
      <c r="AF215">
        <f t="shared" ca="1" si="45"/>
        <v>36.8202</v>
      </c>
      <c r="AI215" s="4" t="s">
        <v>43</v>
      </c>
      <c r="AJ215" t="str">
        <f t="shared" si="41"/>
        <v>M2 Bradley  #814</v>
      </c>
      <c r="AL215" s="16">
        <f t="shared" ca="1" si="46"/>
        <v>270</v>
      </c>
      <c r="AM215" s="16">
        <f t="shared" ca="1" si="47"/>
        <v>47.427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36.822229999999998</v>
      </c>
      <c r="F216" s="5">
        <v>47.66572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4"/>
        <v>330</v>
      </c>
      <c r="AF216">
        <f t="shared" ca="1" si="45"/>
        <v>36.033000000000001</v>
      </c>
      <c r="AI216" s="4" t="s">
        <v>44</v>
      </c>
      <c r="AJ216" t="str">
        <f t="shared" si="41"/>
        <v>Stryker  #815</v>
      </c>
      <c r="AL216" s="16">
        <f t="shared" ca="1" si="46"/>
        <v>990</v>
      </c>
      <c r="AM216" s="16">
        <f t="shared" ca="1" si="47"/>
        <v>47.498999999999995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36.823070000000001</v>
      </c>
      <c r="F217" s="5">
        <v>47.691650000000003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4"/>
        <v>928</v>
      </c>
      <c r="AF217">
        <f t="shared" ca="1" si="45"/>
        <v>36.092799999999997</v>
      </c>
      <c r="AI217" s="4" t="s">
        <v>41</v>
      </c>
      <c r="AJ217" t="str">
        <f t="shared" si="41"/>
        <v>Infantry Squad  #816</v>
      </c>
      <c r="AL217" s="16">
        <f t="shared" ca="1" si="46"/>
        <v>897</v>
      </c>
      <c r="AM217" s="16">
        <f t="shared" ca="1" si="47"/>
        <v>47.489699999999999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36.817599999999999</v>
      </c>
      <c r="F218" s="5">
        <v>47.674079999999996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4"/>
        <v>3581</v>
      </c>
      <c r="AF218">
        <f t="shared" ca="1" si="45"/>
        <v>36.3581</v>
      </c>
      <c r="AI218" s="4" t="s">
        <v>41</v>
      </c>
      <c r="AJ218" t="str">
        <f t="shared" si="41"/>
        <v>Infantry Squad  #817</v>
      </c>
      <c r="AL218" s="16">
        <f t="shared" ca="1" si="46"/>
        <v>311</v>
      </c>
      <c r="AM218" s="16">
        <f t="shared" ca="1" si="47"/>
        <v>47.431100000000001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36.823070000000001</v>
      </c>
      <c r="F219" s="5">
        <v>47.691110000000002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4"/>
        <v>8032</v>
      </c>
      <c r="AF219">
        <f t="shared" ca="1" si="45"/>
        <v>36.803199999999997</v>
      </c>
      <c r="AI219" s="4" t="s">
        <v>41</v>
      </c>
      <c r="AJ219" t="str">
        <f t="shared" si="41"/>
        <v>Infantry Squad  #818</v>
      </c>
      <c r="AL219" s="16">
        <f t="shared" ca="1" si="46"/>
        <v>553</v>
      </c>
      <c r="AM219" s="16">
        <f t="shared" ca="1" si="47"/>
        <v>47.455300000000001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36.836069999999999</v>
      </c>
      <c r="F220" s="5">
        <v>47.65025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4"/>
        <v>887</v>
      </c>
      <c r="AF220">
        <f t="shared" ca="1" si="45"/>
        <v>36.088700000000003</v>
      </c>
      <c r="AI220" s="4" t="s">
        <v>42</v>
      </c>
      <c r="AJ220" t="str">
        <f t="shared" si="41"/>
        <v>M1A2 Abrams  #819</v>
      </c>
      <c r="AL220" s="16">
        <f t="shared" ca="1" si="46"/>
        <v>650</v>
      </c>
      <c r="AM220" s="16">
        <f t="shared" ca="1" si="47"/>
        <v>47.464999999999996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36.820270000000001</v>
      </c>
      <c r="F221" s="5">
        <v>47.65204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4"/>
        <v>5269</v>
      </c>
      <c r="AF221">
        <f t="shared" ca="1" si="45"/>
        <v>36.526899999999998</v>
      </c>
      <c r="AI221" s="4" t="s">
        <v>42</v>
      </c>
      <c r="AJ221" t="str">
        <f t="shared" si="41"/>
        <v>M1A2 Abrams  #820</v>
      </c>
      <c r="AL221" s="16">
        <f t="shared" ca="1" si="46"/>
        <v>854</v>
      </c>
      <c r="AM221" s="16">
        <f t="shared" ca="1" si="47"/>
        <v>47.485399999999998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36.85</v>
      </c>
      <c r="F222" s="5">
        <v>47.7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4"/>
        <v>9792</v>
      </c>
      <c r="AF222">
        <f t="shared" ca="1" si="45"/>
        <v>36.979199999999999</v>
      </c>
      <c r="AI222" s="4" t="s">
        <v>42</v>
      </c>
      <c r="AJ222" t="str">
        <f t="shared" si="41"/>
        <v>M1A2 Abrams  #821</v>
      </c>
      <c r="AL222" s="16">
        <f t="shared" ca="1" si="46"/>
        <v>556</v>
      </c>
      <c r="AM222" s="16">
        <f t="shared" ca="1" si="47"/>
        <v>47.455599999999997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36.837560000000003</v>
      </c>
      <c r="F223" s="5">
        <v>47.683419999999998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4"/>
        <v>5717</v>
      </c>
      <c r="AF223">
        <f t="shared" ca="1" si="45"/>
        <v>36.5717</v>
      </c>
      <c r="AI223" s="4" t="s">
        <v>43</v>
      </c>
      <c r="AJ223" t="str">
        <f t="shared" si="41"/>
        <v>M2 Bradley  #822</v>
      </c>
      <c r="AL223" s="16">
        <f t="shared" ca="1" si="46"/>
        <v>229</v>
      </c>
      <c r="AM223" s="16">
        <f t="shared" ca="1" si="47"/>
        <v>47.422899999999998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36.819589999999998</v>
      </c>
      <c r="F224" s="5">
        <v>47.682969999999997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4"/>
        <v>9450</v>
      </c>
      <c r="AF224">
        <f t="shared" ca="1" si="45"/>
        <v>36.945</v>
      </c>
      <c r="AI224" s="4" t="s">
        <v>43</v>
      </c>
      <c r="AJ224" t="str">
        <f t="shared" si="41"/>
        <v>M2 Bradley  #823</v>
      </c>
      <c r="AL224" s="16">
        <f t="shared" ca="1" si="46"/>
        <v>49</v>
      </c>
      <c r="AM224" s="16">
        <f t="shared" ca="1" si="47"/>
        <v>47.404899999999998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36.812249999999999</v>
      </c>
      <c r="F225" s="5">
        <v>47.690559999999998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4"/>
        <v>8406</v>
      </c>
      <c r="AF225">
        <f t="shared" ca="1" si="45"/>
        <v>36.840600000000002</v>
      </c>
      <c r="AI225" s="4" t="s">
        <v>44</v>
      </c>
      <c r="AJ225" t="str">
        <f t="shared" si="41"/>
        <v>Stryker  #824</v>
      </c>
      <c r="AL225" s="16">
        <f t="shared" ca="1" si="46"/>
        <v>585</v>
      </c>
      <c r="AM225" s="16">
        <f t="shared" ca="1" si="47"/>
        <v>47.458500000000001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36.819690000000001</v>
      </c>
      <c r="F226" s="5">
        <v>47.656700000000001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4"/>
        <v>7782</v>
      </c>
      <c r="AF226">
        <f t="shared" ca="1" si="45"/>
        <v>36.778199999999998</v>
      </c>
      <c r="AI226" s="4" t="s">
        <v>41</v>
      </c>
      <c r="AJ226" t="str">
        <f t="shared" si="41"/>
        <v>Infantry Squad  #825</v>
      </c>
      <c r="AL226" s="16">
        <f t="shared" ca="1" si="46"/>
        <v>428</v>
      </c>
      <c r="AM226" s="16">
        <f t="shared" ca="1" si="47"/>
        <v>47.442799999999998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36.826309999999999</v>
      </c>
      <c r="F227" s="5">
        <v>47.664639999999999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4"/>
        <v>5885</v>
      </c>
      <c r="AF227">
        <f t="shared" ca="1" si="45"/>
        <v>36.588500000000003</v>
      </c>
      <c r="AI227" s="4" t="s">
        <v>41</v>
      </c>
      <c r="AJ227" t="str">
        <f t="shared" ref="AJ227:AJ258" si="48">CONCATENATE(AI227," #",A227)</f>
        <v>Infantry Squad  #826</v>
      </c>
      <c r="AL227" s="16">
        <f t="shared" ca="1" si="46"/>
        <v>493</v>
      </c>
      <c r="AM227" s="16">
        <f t="shared" ca="1" si="47"/>
        <v>47.449300000000001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36.818379999999998</v>
      </c>
      <c r="F228" s="5">
        <v>47.676279999999998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4"/>
        <v>7042</v>
      </c>
      <c r="AF228">
        <f t="shared" ca="1" si="45"/>
        <v>36.7042</v>
      </c>
      <c r="AI228" s="4" t="s">
        <v>41</v>
      </c>
      <c r="AJ228" t="str">
        <f t="shared" si="48"/>
        <v>Infantry Squad  #827</v>
      </c>
      <c r="AL228" s="16">
        <f t="shared" ca="1" si="46"/>
        <v>127</v>
      </c>
      <c r="AM228" s="16">
        <f t="shared" ca="1" si="47"/>
        <v>47.412700000000001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36.831969999999998</v>
      </c>
      <c r="F229" s="5">
        <v>47.7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4"/>
        <v>6727</v>
      </c>
      <c r="AF229">
        <f t="shared" ca="1" si="45"/>
        <v>36.672699999999999</v>
      </c>
      <c r="AI229" s="4" t="s">
        <v>42</v>
      </c>
      <c r="AJ229" t="str">
        <f t="shared" si="48"/>
        <v>M1A2 Abrams  #828</v>
      </c>
      <c r="AL229" s="16">
        <f t="shared" ca="1" si="46"/>
        <v>255</v>
      </c>
      <c r="AM229" s="16">
        <f t="shared" ca="1" si="47"/>
        <v>47.4255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36.848350000000003</v>
      </c>
      <c r="F230" s="5">
        <v>47.658769999999997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4"/>
        <v>255</v>
      </c>
      <c r="AF230">
        <f t="shared" ca="1" si="45"/>
        <v>36.025500000000001</v>
      </c>
      <c r="AI230" s="4" t="s">
        <v>42</v>
      </c>
      <c r="AJ230" t="str">
        <f t="shared" si="48"/>
        <v>M1A2 Abrams  #829</v>
      </c>
      <c r="AL230" s="16">
        <f t="shared" ca="1" si="46"/>
        <v>494</v>
      </c>
      <c r="AM230" s="16">
        <f t="shared" ca="1" si="47"/>
        <v>47.449399999999997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36.82602</v>
      </c>
      <c r="F231" s="5">
        <v>47.680579999999999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4"/>
        <v>5614</v>
      </c>
      <c r="AF231">
        <f t="shared" ca="1" si="45"/>
        <v>36.561399999999999</v>
      </c>
      <c r="AI231" s="4" t="s">
        <v>42</v>
      </c>
      <c r="AJ231" t="str">
        <f t="shared" si="48"/>
        <v>M1A2 Abrams  #830</v>
      </c>
      <c r="AL231" s="16">
        <f t="shared" ca="1" si="46"/>
        <v>448</v>
      </c>
      <c r="AM231" s="16">
        <f t="shared" ca="1" si="47"/>
        <v>47.444800000000001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36.813110000000002</v>
      </c>
      <c r="F232" s="5">
        <v>47.655560000000001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4"/>
        <v>7229</v>
      </c>
      <c r="AF232">
        <f t="shared" ca="1" si="45"/>
        <v>36.722900000000003</v>
      </c>
      <c r="AI232" s="4" t="s">
        <v>43</v>
      </c>
      <c r="AJ232" t="str">
        <f t="shared" si="48"/>
        <v>M2 Bradley  #831</v>
      </c>
      <c r="AL232" s="16">
        <f t="shared" ca="1" si="46"/>
        <v>698</v>
      </c>
      <c r="AM232" s="16">
        <f t="shared" ca="1" si="47"/>
        <v>47.469799999999999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36.829599999999999</v>
      </c>
      <c r="F233" s="5">
        <v>47.65025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4"/>
        <v>2411</v>
      </c>
      <c r="AF233">
        <f t="shared" ca="1" si="45"/>
        <v>36.241100000000003</v>
      </c>
      <c r="AI233" s="4" t="s">
        <v>43</v>
      </c>
      <c r="AJ233" t="str">
        <f t="shared" si="48"/>
        <v>M2 Bradley  #832</v>
      </c>
      <c r="AL233" s="16">
        <f t="shared" ca="1" si="46"/>
        <v>855</v>
      </c>
      <c r="AM233" s="16">
        <f t="shared" ca="1" si="47"/>
        <v>47.485500000000002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36.811920000000001</v>
      </c>
      <c r="F234" s="5">
        <v>47.693150000000003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4"/>
        <v>1891</v>
      </c>
      <c r="AF234">
        <f t="shared" ca="1" si="45"/>
        <v>36.189100000000003</v>
      </c>
      <c r="AI234" s="4" t="s">
        <v>44</v>
      </c>
      <c r="AJ234" t="str">
        <f t="shared" si="48"/>
        <v>Stryker  #833</v>
      </c>
      <c r="AL234" s="16">
        <f t="shared" ca="1" si="46"/>
        <v>826</v>
      </c>
      <c r="AM234" s="16">
        <f t="shared" ca="1" si="47"/>
        <v>47.482599999999998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36.809690000000003</v>
      </c>
      <c r="F235" s="5">
        <v>47.66977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9">RANDBETWEEN(0,10000)</f>
        <v>7335</v>
      </c>
      <c r="AF235">
        <f t="shared" ref="AF235:AF291" ca="1" si="50">36+AE235/10000</f>
        <v>36.733499999999999</v>
      </c>
      <c r="AI235" s="4" t="s">
        <v>41</v>
      </c>
      <c r="AJ235" t="str">
        <f t="shared" si="48"/>
        <v>Infantry Squad  #834</v>
      </c>
      <c r="AL235" s="16">
        <f t="shared" ref="AL235:AL291" ca="1" si="51">RANDBETWEEN(0,1000)</f>
        <v>186</v>
      </c>
      <c r="AM235" s="16">
        <f t="shared" ca="1" si="47"/>
        <v>47.418599999999998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36.801519999999996</v>
      </c>
      <c r="F236" s="5">
        <v>47.681089999999998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9"/>
        <v>3433</v>
      </c>
      <c r="AF236">
        <f t="shared" ca="1" si="50"/>
        <v>36.343299999999999</v>
      </c>
      <c r="AI236" s="4" t="s">
        <v>41</v>
      </c>
      <c r="AJ236" t="str">
        <f t="shared" si="48"/>
        <v>Infantry Squad  #835</v>
      </c>
      <c r="AL236" s="16">
        <f t="shared" ca="1" si="51"/>
        <v>387</v>
      </c>
      <c r="AM236" s="16">
        <f t="shared" ca="1" si="47"/>
        <v>47.438699999999997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36.817100000000003</v>
      </c>
      <c r="F237" s="5">
        <v>47.659379999999999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9"/>
        <v>1443</v>
      </c>
      <c r="AF237">
        <f t="shared" ca="1" si="50"/>
        <v>36.144300000000001</v>
      </c>
      <c r="AI237" s="4" t="s">
        <v>41</v>
      </c>
      <c r="AJ237" t="str">
        <f t="shared" si="48"/>
        <v>Infantry Squad  #836</v>
      </c>
      <c r="AL237" s="16">
        <f t="shared" ca="1" si="51"/>
        <v>530</v>
      </c>
      <c r="AM237" s="16">
        <f t="shared" ca="1" si="47"/>
        <v>47.452999999999996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36.818779999999997</v>
      </c>
      <c r="F238" s="5">
        <v>47.690010000000001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9"/>
        <v>2744</v>
      </c>
      <c r="AF238">
        <f t="shared" ca="1" si="50"/>
        <v>36.2744</v>
      </c>
      <c r="AI238" s="4" t="s">
        <v>42</v>
      </c>
      <c r="AJ238" t="str">
        <f t="shared" si="48"/>
        <v>M1A2 Abrams  #837</v>
      </c>
      <c r="AL238" s="16">
        <f t="shared" ca="1" si="51"/>
        <v>799</v>
      </c>
      <c r="AM238" s="16">
        <f t="shared" ca="1" si="47"/>
        <v>47.479900000000001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36.825629999999997</v>
      </c>
      <c r="F239" s="5">
        <v>47.661920000000002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9"/>
        <v>5775</v>
      </c>
      <c r="AF239">
        <f t="shared" ca="1" si="50"/>
        <v>36.577500000000001</v>
      </c>
      <c r="AI239" s="4" t="s">
        <v>42</v>
      </c>
      <c r="AJ239" t="str">
        <f t="shared" si="48"/>
        <v>M1A2 Abrams  #838</v>
      </c>
      <c r="AL239" s="16">
        <f t="shared" ca="1" si="51"/>
        <v>387</v>
      </c>
      <c r="AM239" s="16">
        <f t="shared" ca="1" si="47"/>
        <v>47.438699999999997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36.845700000000001</v>
      </c>
      <c r="F240" s="5">
        <v>47.681289999999997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9"/>
        <v>1625</v>
      </c>
      <c r="AF240">
        <f t="shared" ca="1" si="50"/>
        <v>36.162500000000001</v>
      </c>
      <c r="AI240" s="4" t="s">
        <v>42</v>
      </c>
      <c r="AJ240" t="str">
        <f t="shared" si="48"/>
        <v>M1A2 Abrams  #839</v>
      </c>
      <c r="AL240" s="16">
        <f t="shared" ca="1" si="51"/>
        <v>793</v>
      </c>
      <c r="AM240" s="16">
        <f t="shared" ca="1" si="47"/>
        <v>47.479300000000002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36.803899999999999</v>
      </c>
      <c r="F241" s="5">
        <v>47.690779999999997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9"/>
        <v>4016</v>
      </c>
      <c r="AF241">
        <f t="shared" ca="1" si="50"/>
        <v>36.401600000000002</v>
      </c>
      <c r="AI241" s="4" t="s">
        <v>43</v>
      </c>
      <c r="AJ241" t="str">
        <f t="shared" si="48"/>
        <v>M2 Bradley  #840</v>
      </c>
      <c r="AL241" s="16">
        <f t="shared" ca="1" si="51"/>
        <v>655</v>
      </c>
      <c r="AM241" s="16">
        <f t="shared" ca="1" si="47"/>
        <v>47.465499999999999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36.841279999999998</v>
      </c>
      <c r="F242" s="5">
        <v>47.68882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9"/>
        <v>5934</v>
      </c>
      <c r="AF242">
        <f t="shared" ca="1" si="50"/>
        <v>36.593400000000003</v>
      </c>
      <c r="AI242" s="4" t="s">
        <v>43</v>
      </c>
      <c r="AJ242" t="str">
        <f t="shared" si="48"/>
        <v>M2 Bradley  #841</v>
      </c>
      <c r="AL242" s="16">
        <f t="shared" ca="1" si="51"/>
        <v>612</v>
      </c>
      <c r="AM242" s="16">
        <f t="shared" ca="1" si="47"/>
        <v>47.461199999999998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36.841700000000003</v>
      </c>
      <c r="F243" s="5">
        <v>47.6539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9"/>
        <v>4838</v>
      </c>
      <c r="AF243">
        <f t="shared" ca="1" si="50"/>
        <v>36.483800000000002</v>
      </c>
      <c r="AI243" s="4" t="s">
        <v>44</v>
      </c>
      <c r="AJ243" t="str">
        <f t="shared" si="48"/>
        <v>Stryker  #842</v>
      </c>
      <c r="AL243" s="16">
        <f t="shared" ca="1" si="51"/>
        <v>1</v>
      </c>
      <c r="AM243" s="16">
        <f t="shared" ca="1" si="47"/>
        <v>47.400100000000002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36.801270000000002</v>
      </c>
      <c r="F244" s="5">
        <v>47.658580000000001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9"/>
        <v>8646</v>
      </c>
      <c r="AF244">
        <f t="shared" ca="1" si="50"/>
        <v>36.864600000000003</v>
      </c>
      <c r="AI244" s="4" t="s">
        <v>41</v>
      </c>
      <c r="AJ244" t="str">
        <f t="shared" si="48"/>
        <v>Infantry Squad  #843</v>
      </c>
      <c r="AL244" s="16">
        <f t="shared" ca="1" si="51"/>
        <v>116</v>
      </c>
      <c r="AM244" s="16">
        <f t="shared" ca="1" si="47"/>
        <v>47.4116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36.815719999999999</v>
      </c>
      <c r="F245" s="5">
        <v>47.671889999999998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9"/>
        <v>5735</v>
      </c>
      <c r="AF245">
        <f t="shared" ca="1" si="50"/>
        <v>36.573500000000003</v>
      </c>
      <c r="AI245" s="4" t="s">
        <v>41</v>
      </c>
      <c r="AJ245" t="str">
        <f t="shared" si="48"/>
        <v>Infantry Squad  #844</v>
      </c>
      <c r="AL245" s="16">
        <f t="shared" ca="1" si="51"/>
        <v>697</v>
      </c>
      <c r="AM245" s="16">
        <f t="shared" ca="1" si="47"/>
        <v>47.469699999999996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36.831290000000003</v>
      </c>
      <c r="F246" s="5">
        <v>47.683349999999997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9"/>
        <v>8638</v>
      </c>
      <c r="AF246">
        <f t="shared" ca="1" si="50"/>
        <v>36.863799999999998</v>
      </c>
      <c r="AI246" s="4" t="s">
        <v>41</v>
      </c>
      <c r="AJ246" t="str">
        <f t="shared" si="48"/>
        <v>Infantry Squad  #845</v>
      </c>
      <c r="AL246" s="16">
        <f t="shared" ca="1" si="51"/>
        <v>866</v>
      </c>
      <c r="AM246" s="16">
        <f t="shared" ca="1" si="47"/>
        <v>47.486599999999996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36.846049999999998</v>
      </c>
      <c r="F247" s="5">
        <v>47.656129999999997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9"/>
        <v>3377</v>
      </c>
      <c r="AF247">
        <f t="shared" ca="1" si="50"/>
        <v>36.337699999999998</v>
      </c>
      <c r="AI247" s="4" t="s">
        <v>42</v>
      </c>
      <c r="AJ247" t="str">
        <f t="shared" si="48"/>
        <v>M1A2 Abrams  #846</v>
      </c>
      <c r="AL247" s="16">
        <f t="shared" ca="1" si="51"/>
        <v>322</v>
      </c>
      <c r="AM247" s="16">
        <f t="shared" ca="1" si="47"/>
        <v>47.432200000000002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36.831980000000001</v>
      </c>
      <c r="F248" s="5">
        <v>47.668379999999999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9"/>
        <v>8935</v>
      </c>
      <c r="AF248">
        <f t="shared" ca="1" si="50"/>
        <v>36.893500000000003</v>
      </c>
      <c r="AI248" s="4" t="s">
        <v>42</v>
      </c>
      <c r="AJ248" t="str">
        <f t="shared" si="48"/>
        <v>M1A2 Abrams  #847</v>
      </c>
      <c r="AL248" s="16">
        <f t="shared" ca="1" si="51"/>
        <v>114</v>
      </c>
      <c r="AM248" s="16">
        <f t="shared" ca="1" si="47"/>
        <v>47.4114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36.815359999999998</v>
      </c>
      <c r="F249" s="5">
        <v>47.691690000000001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9"/>
        <v>4759</v>
      </c>
      <c r="AF249">
        <f t="shared" ca="1" si="50"/>
        <v>36.475900000000003</v>
      </c>
      <c r="AI249" s="4" t="s">
        <v>42</v>
      </c>
      <c r="AJ249" t="str">
        <f t="shared" si="48"/>
        <v>M1A2 Abrams  #848</v>
      </c>
      <c r="AL249" s="16">
        <f t="shared" ca="1" si="51"/>
        <v>711</v>
      </c>
      <c r="AM249" s="16">
        <f t="shared" ca="1" si="47"/>
        <v>47.4711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36.817599999999999</v>
      </c>
      <c r="F250" s="5">
        <v>47.67051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9"/>
        <v>9413</v>
      </c>
      <c r="AF250">
        <f t="shared" ca="1" si="50"/>
        <v>36.941299999999998</v>
      </c>
      <c r="AI250" s="4" t="s">
        <v>43</v>
      </c>
      <c r="AJ250" t="str">
        <f t="shared" si="48"/>
        <v>M2 Bradley  #849</v>
      </c>
      <c r="AL250" s="16">
        <f t="shared" ca="1" si="51"/>
        <v>224</v>
      </c>
      <c r="AM250" s="16">
        <f t="shared" ca="1" si="47"/>
        <v>47.422399999999996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36.839469999999999</v>
      </c>
      <c r="F251" s="5">
        <v>47.687750000000001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9"/>
        <v>380</v>
      </c>
      <c r="AF251">
        <f t="shared" ca="1" si="50"/>
        <v>36.037999999999997</v>
      </c>
      <c r="AI251" s="4" t="s">
        <v>43</v>
      </c>
      <c r="AJ251" t="str">
        <f t="shared" si="48"/>
        <v>M2 Bradley  #850</v>
      </c>
      <c r="AL251" s="16">
        <f t="shared" ca="1" si="51"/>
        <v>786</v>
      </c>
      <c r="AM251" s="16">
        <f t="shared" ca="1" si="47"/>
        <v>47.4786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36.826079999999997</v>
      </c>
      <c r="F252" s="5">
        <v>47.664290000000001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9"/>
        <v>7945</v>
      </c>
      <c r="AF252">
        <f t="shared" ca="1" si="50"/>
        <v>36.794499999999999</v>
      </c>
      <c r="AI252" s="4" t="s">
        <v>44</v>
      </c>
      <c r="AJ252" t="str">
        <f t="shared" si="48"/>
        <v>Stryker  #851</v>
      </c>
      <c r="AL252" s="16">
        <f t="shared" ca="1" si="51"/>
        <v>183</v>
      </c>
      <c r="AM252" s="16">
        <f t="shared" ca="1" si="47"/>
        <v>47.418300000000002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36.799999999999997</v>
      </c>
      <c r="F253" s="5">
        <v>47.692500000000003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9"/>
        <v>4685</v>
      </c>
      <c r="AF253">
        <f t="shared" ca="1" si="50"/>
        <v>36.468499999999999</v>
      </c>
      <c r="AI253" s="4" t="s">
        <v>41</v>
      </c>
      <c r="AJ253" t="str">
        <f t="shared" si="48"/>
        <v>Infantry Squad  #852</v>
      </c>
      <c r="AL253" s="16">
        <f t="shared" ca="1" si="51"/>
        <v>635</v>
      </c>
      <c r="AM253" s="16">
        <f t="shared" ca="1" si="47"/>
        <v>47.463499999999996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36.845930000000003</v>
      </c>
      <c r="F254" s="5">
        <v>47.666089999999997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9"/>
        <v>5999</v>
      </c>
      <c r="AF254">
        <f t="shared" ca="1" si="50"/>
        <v>36.599899999999998</v>
      </c>
      <c r="AI254" s="4" t="s">
        <v>41</v>
      </c>
      <c r="AJ254" t="str">
        <f t="shared" si="48"/>
        <v>Infantry Squad  #853</v>
      </c>
      <c r="AL254" s="16">
        <f t="shared" ca="1" si="51"/>
        <v>932</v>
      </c>
      <c r="AM254" s="16">
        <f t="shared" ca="1" si="47"/>
        <v>47.493200000000002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36.84216</v>
      </c>
      <c r="F255" s="5">
        <v>47.651009999999999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9"/>
        <v>1994</v>
      </c>
      <c r="AF255">
        <f t="shared" ca="1" si="50"/>
        <v>36.199399999999997</v>
      </c>
      <c r="AI255" s="4" t="s">
        <v>41</v>
      </c>
      <c r="AJ255" t="str">
        <f t="shared" si="48"/>
        <v>Infantry Squad  #854</v>
      </c>
      <c r="AL255" s="16">
        <f t="shared" ca="1" si="51"/>
        <v>371</v>
      </c>
      <c r="AM255" s="16">
        <f t="shared" ca="1" si="47"/>
        <v>47.437100000000001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36.813940000000002</v>
      </c>
      <c r="F256" s="5">
        <v>47.692430000000002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9"/>
        <v>471</v>
      </c>
      <c r="AF256">
        <f t="shared" ca="1" si="50"/>
        <v>36.0471</v>
      </c>
      <c r="AI256" s="4" t="s">
        <v>42</v>
      </c>
      <c r="AJ256" t="str">
        <f t="shared" si="48"/>
        <v>M1A2 Abrams  #855</v>
      </c>
      <c r="AL256" s="16">
        <f t="shared" ca="1" si="51"/>
        <v>337</v>
      </c>
      <c r="AM256" s="16">
        <f t="shared" ca="1" si="47"/>
        <v>47.433700000000002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36.805840000000003</v>
      </c>
      <c r="F257" s="5">
        <v>47.696910000000003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9"/>
        <v>2426</v>
      </c>
      <c r="AF257">
        <f t="shared" ca="1" si="50"/>
        <v>36.242600000000003</v>
      </c>
      <c r="AI257" s="4" t="s">
        <v>42</v>
      </c>
      <c r="AJ257" t="str">
        <f t="shared" si="48"/>
        <v>M1A2 Abrams  #856</v>
      </c>
      <c r="AL257" s="16">
        <f t="shared" ca="1" si="51"/>
        <v>429</v>
      </c>
      <c r="AM257" s="16">
        <f t="shared" ca="1" si="47"/>
        <v>47.442900000000002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36.84834</v>
      </c>
      <c r="F258" s="5">
        <v>47.658470000000001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9"/>
        <v>7858</v>
      </c>
      <c r="AF258">
        <f t="shared" ca="1" si="50"/>
        <v>36.785800000000002</v>
      </c>
      <c r="AI258" s="4" t="s">
        <v>42</v>
      </c>
      <c r="AJ258" t="str">
        <f t="shared" si="48"/>
        <v>M1A2 Abrams  #857</v>
      </c>
      <c r="AL258" s="16">
        <f t="shared" ca="1" si="51"/>
        <v>486</v>
      </c>
      <c r="AM258" s="16">
        <f t="shared" ca="1" si="47"/>
        <v>47.448599999999999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36.842109999999998</v>
      </c>
      <c r="F259" s="5">
        <v>47.658470000000001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9"/>
        <v>3980</v>
      </c>
      <c r="AF259">
        <f t="shared" ca="1" si="50"/>
        <v>36.398000000000003</v>
      </c>
      <c r="AI259" s="4" t="s">
        <v>43</v>
      </c>
      <c r="AJ259" t="str">
        <f t="shared" ref="AJ259:AJ290" si="52">CONCATENATE(AI259," #",A259)</f>
        <v>M2 Bradley  #858</v>
      </c>
      <c r="AL259" s="16">
        <f t="shared" ca="1" si="51"/>
        <v>994</v>
      </c>
      <c r="AM259" s="16">
        <f t="shared" ca="1" si="47"/>
        <v>47.499400000000001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36.83717</v>
      </c>
      <c r="F260" s="5">
        <v>47.686770000000003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9"/>
        <v>9833</v>
      </c>
      <c r="AF260">
        <f t="shared" ca="1" si="50"/>
        <v>36.9833</v>
      </c>
      <c r="AI260" s="4" t="s">
        <v>43</v>
      </c>
      <c r="AJ260" t="str">
        <f t="shared" si="52"/>
        <v>M2 Bradley  #859</v>
      </c>
      <c r="AL260" s="16">
        <f t="shared" ca="1" si="51"/>
        <v>599</v>
      </c>
      <c r="AM260" s="16">
        <f t="shared" ca="1" si="47"/>
        <v>47.459899999999998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36.844299999999997</v>
      </c>
      <c r="F261" s="5">
        <v>47.69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9"/>
        <v>1606</v>
      </c>
      <c r="AF261">
        <f t="shared" ca="1" si="50"/>
        <v>36.160600000000002</v>
      </c>
      <c r="AI261" s="4" t="s">
        <v>44</v>
      </c>
      <c r="AJ261" t="str">
        <f t="shared" si="52"/>
        <v>Stryker  #860</v>
      </c>
      <c r="AL261" s="16">
        <f t="shared" ca="1" si="51"/>
        <v>943</v>
      </c>
      <c r="AM261" s="16">
        <f t="shared" ca="1" si="47"/>
        <v>47.494299999999996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36.835859999999997</v>
      </c>
      <c r="F262" s="5">
        <v>47.693640000000002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9"/>
        <v>1056</v>
      </c>
      <c r="AF262">
        <f t="shared" ca="1" si="50"/>
        <v>36.105600000000003</v>
      </c>
      <c r="AI262" s="4" t="s">
        <v>41</v>
      </c>
      <c r="AJ262" t="str">
        <f t="shared" si="52"/>
        <v>Infantry Squad  #861</v>
      </c>
      <c r="AL262" s="16">
        <f t="shared" ca="1" si="51"/>
        <v>78</v>
      </c>
      <c r="AM262" s="16">
        <f t="shared" ca="1" si="47"/>
        <v>47.407800000000002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36.817979999999999</v>
      </c>
      <c r="F263" s="5">
        <v>47.681109999999997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9"/>
        <v>9826</v>
      </c>
      <c r="AF263">
        <f t="shared" ca="1" si="50"/>
        <v>36.982599999999998</v>
      </c>
      <c r="AI263" s="4" t="s">
        <v>41</v>
      </c>
      <c r="AJ263" t="str">
        <f t="shared" si="52"/>
        <v>Infantry Squad  #862</v>
      </c>
      <c r="AL263" s="16">
        <f t="shared" ca="1" si="51"/>
        <v>591</v>
      </c>
      <c r="AM263" s="16">
        <f t="shared" ca="1" si="47"/>
        <v>47.459099999999999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36.809069999999998</v>
      </c>
      <c r="F264" s="5">
        <v>47.693040000000003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9"/>
        <v>9670</v>
      </c>
      <c r="AF264">
        <f t="shared" ca="1" si="50"/>
        <v>36.966999999999999</v>
      </c>
      <c r="AI264" s="4" t="s">
        <v>41</v>
      </c>
      <c r="AJ264" t="str">
        <f t="shared" si="52"/>
        <v>Infantry Squad  #863</v>
      </c>
      <c r="AL264" s="16">
        <f t="shared" ca="1" si="51"/>
        <v>768</v>
      </c>
      <c r="AM264" s="16">
        <f t="shared" ca="1" si="47"/>
        <v>47.476799999999997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36.802039999999998</v>
      </c>
      <c r="F265" s="5">
        <v>47.6813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9"/>
        <v>4630</v>
      </c>
      <c r="AF265">
        <f t="shared" ca="1" si="50"/>
        <v>36.463000000000001</v>
      </c>
      <c r="AI265" s="4" t="s">
        <v>42</v>
      </c>
      <c r="AJ265" t="str">
        <f t="shared" si="52"/>
        <v>M1A2 Abrams  #864</v>
      </c>
      <c r="AL265" s="16">
        <f t="shared" ca="1" si="51"/>
        <v>550</v>
      </c>
      <c r="AM265" s="16">
        <f t="shared" ca="1" si="47"/>
        <v>47.454999999999998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36.831699999999998</v>
      </c>
      <c r="F266" s="5">
        <v>47.67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9"/>
        <v>3400</v>
      </c>
      <c r="AF266">
        <f t="shared" ca="1" si="50"/>
        <v>36.340000000000003</v>
      </c>
      <c r="AI266" s="4" t="s">
        <v>42</v>
      </c>
      <c r="AJ266" t="str">
        <f t="shared" si="52"/>
        <v>M1A2 Abrams  #865</v>
      </c>
      <c r="AL266" s="16">
        <f t="shared" ca="1" si="51"/>
        <v>35</v>
      </c>
      <c r="AM266" s="16">
        <f t="shared" ca="1" si="47"/>
        <v>47.403500000000001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36.820419999999999</v>
      </c>
      <c r="F267" s="5">
        <v>47.685510000000001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9"/>
        <v>4235</v>
      </c>
      <c r="AF267">
        <f t="shared" ca="1" si="50"/>
        <v>36.423499999999997</v>
      </c>
      <c r="AI267" s="4" t="s">
        <v>42</v>
      </c>
      <c r="AJ267" t="str">
        <f t="shared" si="52"/>
        <v>M1A2 Abrams  #866</v>
      </c>
      <c r="AL267" s="16">
        <f t="shared" ca="1" si="51"/>
        <v>804</v>
      </c>
      <c r="AM267" s="16">
        <f t="shared" ref="AM267:AM291" ca="1" si="53">47.4+AL267/10000</f>
        <v>47.480399999999996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36.839060000000003</v>
      </c>
      <c r="F268" s="5">
        <v>47.666829999999997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9"/>
        <v>1033</v>
      </c>
      <c r="AF268">
        <f t="shared" ca="1" si="50"/>
        <v>36.103299999999997</v>
      </c>
      <c r="AI268" s="4" t="s">
        <v>43</v>
      </c>
      <c r="AJ268" t="str">
        <f t="shared" si="52"/>
        <v>M2 Bradley  #867</v>
      </c>
      <c r="AL268" s="16">
        <f t="shared" ca="1" si="51"/>
        <v>685</v>
      </c>
      <c r="AM268" s="16">
        <f t="shared" ca="1" si="53"/>
        <v>47.468499999999999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36.826549999999997</v>
      </c>
      <c r="F269" s="5">
        <v>47.684989999999999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9"/>
        <v>665</v>
      </c>
      <c r="AF269">
        <f t="shared" ca="1" si="50"/>
        <v>36.066499999999998</v>
      </c>
      <c r="AI269" s="4" t="s">
        <v>43</v>
      </c>
      <c r="AJ269" t="str">
        <f t="shared" si="52"/>
        <v>M2 Bradley  #868</v>
      </c>
      <c r="AL269" s="16">
        <f t="shared" ca="1" si="51"/>
        <v>895</v>
      </c>
      <c r="AM269" s="16">
        <f t="shared" ca="1" si="53"/>
        <v>47.4895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36.811590000000002</v>
      </c>
      <c r="F270" s="5">
        <v>47.68656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9"/>
        <v>9268</v>
      </c>
      <c r="AF270">
        <f t="shared" ca="1" si="50"/>
        <v>36.9268</v>
      </c>
      <c r="AI270" s="4" t="s">
        <v>44</v>
      </c>
      <c r="AJ270" t="str">
        <f t="shared" si="52"/>
        <v>Stryker  #869</v>
      </c>
      <c r="AL270" s="16">
        <f t="shared" ca="1" si="51"/>
        <v>363</v>
      </c>
      <c r="AM270" s="16">
        <f t="shared" ca="1" si="53"/>
        <v>47.436299999999996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36.817979999999999</v>
      </c>
      <c r="F271" s="5">
        <v>47.669910000000002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9"/>
        <v>8461</v>
      </c>
      <c r="AF271">
        <f t="shared" ca="1" si="50"/>
        <v>36.8461</v>
      </c>
      <c r="AI271" s="4" t="s">
        <v>41</v>
      </c>
      <c r="AJ271" t="str">
        <f t="shared" si="52"/>
        <v>Infantry Squad  #870</v>
      </c>
      <c r="AL271" s="16">
        <f t="shared" ca="1" si="51"/>
        <v>45</v>
      </c>
      <c r="AM271" s="16">
        <f t="shared" ca="1" si="53"/>
        <v>47.404499999999999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36.823540000000001</v>
      </c>
      <c r="F272" s="5">
        <v>47.697090000000003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9"/>
        <v>3524</v>
      </c>
      <c r="AF272">
        <f t="shared" ca="1" si="50"/>
        <v>36.352400000000003</v>
      </c>
      <c r="AI272" s="4" t="s">
        <v>41</v>
      </c>
      <c r="AJ272" t="str">
        <f t="shared" si="52"/>
        <v>Infantry Squad  #871</v>
      </c>
      <c r="AL272" s="16">
        <f t="shared" ca="1" si="51"/>
        <v>795</v>
      </c>
      <c r="AM272" s="16">
        <f t="shared" ca="1" si="53"/>
        <v>47.479500000000002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36.842359999999999</v>
      </c>
      <c r="F273" s="5">
        <v>47.663600000000002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9"/>
        <v>3682</v>
      </c>
      <c r="AF273">
        <f t="shared" ca="1" si="50"/>
        <v>36.368200000000002</v>
      </c>
      <c r="AI273" s="4" t="s">
        <v>41</v>
      </c>
      <c r="AJ273" t="str">
        <f t="shared" si="52"/>
        <v>Infantry Squad  #872</v>
      </c>
      <c r="AL273" s="16">
        <f t="shared" ca="1" si="51"/>
        <v>27</v>
      </c>
      <c r="AM273" s="16">
        <f t="shared" ca="1" si="53"/>
        <v>47.402699999999996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36.822719999999997</v>
      </c>
      <c r="F274" s="5">
        <v>47.656700000000001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9"/>
        <v>2519</v>
      </c>
      <c r="AF274">
        <f t="shared" ca="1" si="50"/>
        <v>36.251899999999999</v>
      </c>
      <c r="AI274" s="4" t="s">
        <v>42</v>
      </c>
      <c r="AJ274" t="str">
        <f t="shared" si="52"/>
        <v>M1A2 Abrams  #873</v>
      </c>
      <c r="AL274" s="16">
        <f t="shared" ca="1" si="51"/>
        <v>941</v>
      </c>
      <c r="AM274" s="16">
        <f t="shared" ca="1" si="53"/>
        <v>47.494099999999996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36.837249999999997</v>
      </c>
      <c r="F275" s="5">
        <v>47.674500000000002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9"/>
        <v>4857</v>
      </c>
      <c r="AF275">
        <f t="shared" ca="1" si="50"/>
        <v>36.485700000000001</v>
      </c>
      <c r="AI275" s="4" t="s">
        <v>42</v>
      </c>
      <c r="AJ275" t="str">
        <f t="shared" si="52"/>
        <v>M1A2 Abrams  #874</v>
      </c>
      <c r="AL275" s="16">
        <f t="shared" ca="1" si="51"/>
        <v>829</v>
      </c>
      <c r="AM275" s="16">
        <f t="shared" ca="1" si="53"/>
        <v>47.482900000000001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36.830060000000003</v>
      </c>
      <c r="F276" s="5">
        <v>47.658470000000001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9"/>
        <v>890</v>
      </c>
      <c r="AF276">
        <f t="shared" ca="1" si="50"/>
        <v>36.088999999999999</v>
      </c>
      <c r="AI276" s="4" t="s">
        <v>42</v>
      </c>
      <c r="AJ276" t="str">
        <f t="shared" si="52"/>
        <v>M1A2 Abrams  #875</v>
      </c>
      <c r="AL276" s="16">
        <f t="shared" ca="1" si="51"/>
        <v>33</v>
      </c>
      <c r="AM276" s="16">
        <f t="shared" ca="1" si="53"/>
        <v>47.403300000000002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36.840000000000003</v>
      </c>
      <c r="F277" s="5">
        <v>47.695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9"/>
        <v>1229</v>
      </c>
      <c r="AF277">
        <f t="shared" ca="1" si="50"/>
        <v>36.122900000000001</v>
      </c>
      <c r="AI277" s="4" t="s">
        <v>43</v>
      </c>
      <c r="AJ277" t="str">
        <f t="shared" si="52"/>
        <v>M2 Bradley  #876</v>
      </c>
      <c r="AL277" s="16">
        <f t="shared" ca="1" si="51"/>
        <v>755</v>
      </c>
      <c r="AM277" s="16">
        <f t="shared" ca="1" si="53"/>
        <v>47.475499999999997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36.810310000000001</v>
      </c>
      <c r="F278" s="5">
        <v>47.683329999999998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9"/>
        <v>6606</v>
      </c>
      <c r="AF278">
        <f t="shared" ca="1" si="50"/>
        <v>36.660600000000002</v>
      </c>
      <c r="AI278" s="4" t="s">
        <v>43</v>
      </c>
      <c r="AJ278" t="str">
        <f t="shared" si="52"/>
        <v>M2 Bradley  #877</v>
      </c>
      <c r="AL278" s="16">
        <f t="shared" ca="1" si="51"/>
        <v>885</v>
      </c>
      <c r="AM278" s="16">
        <f t="shared" ca="1" si="53"/>
        <v>47.488500000000002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36.806989999999999</v>
      </c>
      <c r="F279" s="5">
        <v>47.657850000000003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9"/>
        <v>9559</v>
      </c>
      <c r="AF279">
        <f t="shared" ca="1" si="50"/>
        <v>36.9559</v>
      </c>
      <c r="AI279" s="4" t="s">
        <v>44</v>
      </c>
      <c r="AJ279" t="str">
        <f t="shared" si="52"/>
        <v>Stryker  #878</v>
      </c>
      <c r="AL279" s="16">
        <f t="shared" ca="1" si="51"/>
        <v>848</v>
      </c>
      <c r="AM279" s="16">
        <f t="shared" ca="1" si="53"/>
        <v>47.4848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36.824199999999998</v>
      </c>
      <c r="F280" s="5">
        <v>47.659689999999998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9"/>
        <v>1435</v>
      </c>
      <c r="AF280">
        <f t="shared" ca="1" si="50"/>
        <v>36.143500000000003</v>
      </c>
      <c r="AI280" s="4" t="s">
        <v>41</v>
      </c>
      <c r="AJ280" t="str">
        <f t="shared" si="52"/>
        <v>Infantry Squad  #879</v>
      </c>
      <c r="AL280" s="16">
        <f t="shared" ca="1" si="51"/>
        <v>258</v>
      </c>
      <c r="AM280" s="16">
        <f t="shared" ca="1" si="53"/>
        <v>47.425799999999995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36.840859999999999</v>
      </c>
      <c r="F281" s="5">
        <v>47.658470000000001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9"/>
        <v>5837</v>
      </c>
      <c r="AF281">
        <f t="shared" ca="1" si="50"/>
        <v>36.5837</v>
      </c>
      <c r="AI281" s="4" t="s">
        <v>41</v>
      </c>
      <c r="AJ281" t="str">
        <f t="shared" si="52"/>
        <v>Infantry Squad  #880</v>
      </c>
      <c r="AL281" s="16">
        <f t="shared" ca="1" si="51"/>
        <v>48</v>
      </c>
      <c r="AM281" s="16">
        <f t="shared" ca="1" si="53"/>
        <v>47.404800000000002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36.827939999999998</v>
      </c>
      <c r="F282" s="5">
        <v>47.65204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9"/>
        <v>380</v>
      </c>
      <c r="AF282">
        <f t="shared" ca="1" si="50"/>
        <v>36.037999999999997</v>
      </c>
      <c r="AI282" s="4" t="s">
        <v>41</v>
      </c>
      <c r="AJ282" t="str">
        <f t="shared" si="52"/>
        <v>Infantry Squad  #881</v>
      </c>
      <c r="AL282" s="16">
        <f t="shared" ca="1" si="51"/>
        <v>471</v>
      </c>
      <c r="AM282" s="16">
        <f t="shared" ca="1" si="53"/>
        <v>47.447099999999999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36.814999999999998</v>
      </c>
      <c r="F283" s="5">
        <v>47.696849999999998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9"/>
        <v>5616</v>
      </c>
      <c r="AF283">
        <f t="shared" ca="1" si="50"/>
        <v>36.561599999999999</v>
      </c>
      <c r="AI283" s="4" t="s">
        <v>42</v>
      </c>
      <c r="AJ283" t="str">
        <f t="shared" si="52"/>
        <v>M1A2 Abrams  #882</v>
      </c>
      <c r="AL283" s="16">
        <f t="shared" ca="1" si="51"/>
        <v>890</v>
      </c>
      <c r="AM283" s="16">
        <f t="shared" ca="1" si="53"/>
        <v>47.488999999999997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36.831290000000003</v>
      </c>
      <c r="F284" s="5">
        <v>47.689149999999998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9"/>
        <v>4024</v>
      </c>
      <c r="AF284">
        <f t="shared" ca="1" si="50"/>
        <v>36.4024</v>
      </c>
      <c r="AI284" s="4" t="s">
        <v>42</v>
      </c>
      <c r="AJ284" t="str">
        <f t="shared" si="52"/>
        <v>M1A2 Abrams  #883</v>
      </c>
      <c r="AL284" s="16">
        <f t="shared" ca="1" si="51"/>
        <v>677</v>
      </c>
      <c r="AM284" s="16">
        <f t="shared" ca="1" si="53"/>
        <v>47.467700000000001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36.813940000000002</v>
      </c>
      <c r="F285" s="5">
        <v>47.688099999999999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9"/>
        <v>2798</v>
      </c>
      <c r="AF285">
        <f t="shared" ca="1" si="50"/>
        <v>36.279800000000002</v>
      </c>
      <c r="AI285" s="4" t="s">
        <v>42</v>
      </c>
      <c r="AJ285" t="str">
        <f t="shared" si="52"/>
        <v>M1A2 Abrams  #884</v>
      </c>
      <c r="AL285" s="16">
        <f t="shared" ca="1" si="51"/>
        <v>217</v>
      </c>
      <c r="AM285" s="16">
        <f t="shared" ca="1" si="53"/>
        <v>47.421700000000001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36.81127</v>
      </c>
      <c r="F286" s="5">
        <v>47.69303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9"/>
        <v>8371</v>
      </c>
      <c r="AF286">
        <f t="shared" ca="1" si="50"/>
        <v>36.8371</v>
      </c>
      <c r="AI286" s="4" t="s">
        <v>43</v>
      </c>
      <c r="AJ286" t="str">
        <f t="shared" si="52"/>
        <v>M2 Bradley  #885</v>
      </c>
      <c r="AL286" s="16">
        <f t="shared" ca="1" si="51"/>
        <v>640</v>
      </c>
      <c r="AM286" s="16">
        <f t="shared" ca="1" si="53"/>
        <v>47.463999999999999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36.842930000000003</v>
      </c>
      <c r="F287" s="5">
        <v>47.695830000000001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9"/>
        <v>8093</v>
      </c>
      <c r="AF287">
        <f t="shared" ca="1" si="50"/>
        <v>36.8093</v>
      </c>
      <c r="AI287" s="4" t="s">
        <v>43</v>
      </c>
      <c r="AJ287" t="str">
        <f t="shared" si="52"/>
        <v>M2 Bradley  #886</v>
      </c>
      <c r="AL287" s="16">
        <f t="shared" ca="1" si="51"/>
        <v>100</v>
      </c>
      <c r="AM287" s="16">
        <f t="shared" ca="1" si="53"/>
        <v>47.41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36.819940000000003</v>
      </c>
      <c r="F288" s="5">
        <v>47.659379999999999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9"/>
        <v>8190</v>
      </c>
      <c r="AF288">
        <f t="shared" ca="1" si="50"/>
        <v>36.819000000000003</v>
      </c>
      <c r="AI288" s="4" t="s">
        <v>44</v>
      </c>
      <c r="AJ288" t="str">
        <f t="shared" si="52"/>
        <v>Stryker  #887</v>
      </c>
      <c r="AL288" s="16">
        <f t="shared" ca="1" si="51"/>
        <v>745</v>
      </c>
      <c r="AM288" s="16">
        <f t="shared" ca="1" si="53"/>
        <v>47.474499999999999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36.814639999999997</v>
      </c>
      <c r="F289" s="5">
        <v>47.699289999999998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9"/>
        <v>2397</v>
      </c>
      <c r="AF289">
        <f t="shared" ca="1" si="50"/>
        <v>36.239699999999999</v>
      </c>
      <c r="AI289" s="4" t="s">
        <v>41</v>
      </c>
      <c r="AJ289" t="str">
        <f t="shared" si="52"/>
        <v>Infantry Squad  #888</v>
      </c>
      <c r="AL289" s="16">
        <f t="shared" ca="1" si="51"/>
        <v>445</v>
      </c>
      <c r="AM289" s="16">
        <f t="shared" ca="1" si="53"/>
        <v>47.444499999999998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36.814639999999997</v>
      </c>
      <c r="F290" s="5">
        <v>47.690100000000001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9"/>
        <v>890</v>
      </c>
      <c r="AF290">
        <f t="shared" ca="1" si="50"/>
        <v>36.088999999999999</v>
      </c>
      <c r="AI290" s="4" t="s">
        <v>41</v>
      </c>
      <c r="AJ290" t="str">
        <f t="shared" si="52"/>
        <v>Infantry Squad  #889</v>
      </c>
      <c r="AL290" s="16">
        <f t="shared" ca="1" si="51"/>
        <v>672</v>
      </c>
      <c r="AM290" s="16">
        <f t="shared" ca="1" si="53"/>
        <v>47.467199999999998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36.829680000000003</v>
      </c>
      <c r="F291" s="5">
        <v>47.672159999999998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9"/>
        <v>3619</v>
      </c>
      <c r="AF291">
        <f t="shared" ca="1" si="50"/>
        <v>36.361899999999999</v>
      </c>
      <c r="AI291" s="4" t="s">
        <v>41</v>
      </c>
      <c r="AJ291" t="str">
        <f t="shared" ref="AJ291" si="54">CONCATENATE(AI291," #",A291)</f>
        <v>Infantry Squad  #890</v>
      </c>
      <c r="AL291" s="16">
        <f t="shared" ca="1" si="51"/>
        <v>400</v>
      </c>
      <c r="AM291" s="16">
        <f t="shared" ca="1" si="53"/>
        <v>47.44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2025-10-26T16:26:57Z</dcterms:modified>
</cp:coreProperties>
</file>